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M Daten\MSR\MSR-Projekte\Opel\OPL 16\04 Roll-Out\Roll-Out 2022\Region Süd\Greiner_Deggendorf\11 Optimaler Stundenverrechnungssatz\"/>
    </mc:Choice>
  </mc:AlternateContent>
  <xr:revisionPtr revIDLastSave="0" documentId="13_ncr:1_{DC77E1B7-6FFE-4B90-B7B6-46A085A4B1F6}" xr6:coauthVersionLast="47" xr6:coauthVersionMax="47" xr10:uidLastSave="{00000000-0000-0000-0000-000000000000}"/>
  <bookViews>
    <workbookView xWindow="-110" yWindow="-110" windowWidth="19420" windowHeight="10300" xr2:uid="{581B12C0-E05C-4B81-8572-B41B7F1B9F8E}"/>
  </bookViews>
  <sheets>
    <sheet name="Prämiensyste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11" i="3"/>
  <c r="G12" i="3"/>
  <c r="G13" i="3"/>
  <c r="G14" i="3"/>
  <c r="L8" i="3" l="1"/>
  <c r="AC20" i="3"/>
  <c r="AB20" i="3"/>
  <c r="AC19" i="3"/>
  <c r="AB19" i="3"/>
  <c r="O18" i="3"/>
  <c r="G18" i="3"/>
  <c r="K18" i="3" s="1"/>
  <c r="O17" i="3"/>
  <c r="R17" i="3" s="1"/>
  <c r="G17" i="3"/>
  <c r="K17" i="3" s="1"/>
  <c r="O16" i="3"/>
  <c r="R16" i="3" s="1"/>
  <c r="G16" i="3"/>
  <c r="K16" i="3" s="1"/>
  <c r="O15" i="3"/>
  <c r="G15" i="3"/>
  <c r="AA14" i="3"/>
  <c r="AA19" i="3" s="1"/>
  <c r="O13" i="3"/>
  <c r="R13" i="3" s="1"/>
  <c r="K13" i="3"/>
  <c r="O12" i="3"/>
  <c r="R12" i="3" s="1"/>
  <c r="O11" i="3"/>
  <c r="R11" i="3" s="1"/>
  <c r="K11" i="3"/>
  <c r="O10" i="3"/>
  <c r="W11" i="3" s="1"/>
  <c r="K10" i="3"/>
  <c r="O9" i="3"/>
  <c r="K9" i="3"/>
  <c r="O8" i="3"/>
  <c r="K8" i="3"/>
  <c r="AA20" i="3" l="1"/>
  <c r="X8" i="3"/>
  <c r="S8" i="3"/>
  <c r="W18" i="3"/>
  <c r="R18" i="3"/>
  <c r="W12" i="3"/>
  <c r="W15" i="3"/>
  <c r="X15" i="3"/>
  <c r="Z15" i="3" s="1"/>
  <c r="S15" i="3"/>
  <c r="U15" i="3" s="1"/>
  <c r="R15" i="3"/>
  <c r="K15" i="3"/>
  <c r="L15" i="3"/>
  <c r="N15" i="3" s="1"/>
  <c r="W16" i="3"/>
  <c r="W17" i="3"/>
  <c r="R8" i="3"/>
  <c r="W9" i="3"/>
  <c r="N8" i="3"/>
  <c r="K12" i="3"/>
  <c r="W13" i="3"/>
  <c r="W10" i="3"/>
  <c r="Z8" i="3"/>
  <c r="R9" i="3"/>
  <c r="R10" i="3"/>
  <c r="U8" i="3"/>
  <c r="W8" i="3"/>
  <c r="N19" i="3" l="1"/>
  <c r="Z19" i="3"/>
  <c r="U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tc={57078295-6F84-4605-98BE-9CC3AA295016}</author>
    <author>tc={944F210C-21F6-4A4E-8186-65F78F384463}</author>
    <author>tc={73A195CB-A94E-4637-88CD-7E04862E54CA}</author>
  </authors>
  <commentList>
    <comment ref="K8" authorId="0" shapeId="0" xr:uid="{57078295-6F84-4605-98BE-9CC3AA29501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Bleibt bei der Ermittlung des Mechaniker-Teamwertes außen vor!</t>
      </text>
    </comment>
    <comment ref="R8" authorId="1" shapeId="0" xr:uid="{944F210C-21F6-4A4E-8186-65F78F38446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Bleibt bei der Ermittlung des Mechaniker-Teamwertes außen vor!</t>
      </text>
    </comment>
    <comment ref="W8" authorId="2" shapeId="0" xr:uid="{73A195CB-A94E-4637-88CD-7E04862E54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Bleibt bei der Ermittlung des Mechaniker-Teamwertes außen vor!</t>
      </text>
    </comment>
  </commentList>
</comments>
</file>

<file path=xl/sharedStrings.xml><?xml version="1.0" encoding="utf-8"?>
<sst xmlns="http://schemas.openxmlformats.org/spreadsheetml/2006/main" count="71" uniqueCount="61">
  <si>
    <t xml:space="preserve">Werkstattleiter </t>
  </si>
  <si>
    <t xml:space="preserve">Stellv. Werkstattl. </t>
  </si>
  <si>
    <t>Mechaniker</t>
  </si>
  <si>
    <t>Mitarbeiter</t>
  </si>
  <si>
    <t>Funktion</t>
  </si>
  <si>
    <t>Produktivitäts-
faktor</t>
  </si>
  <si>
    <t>Anwesenheits-
stunden gesamt</t>
  </si>
  <si>
    <t xml:space="preserve">Fehl-
stunden </t>
  </si>
  <si>
    <t>Anmerkung</t>
  </si>
  <si>
    <t>Spohle</t>
  </si>
  <si>
    <t>Verfügbare
Anwesenheits-stunden für
produktive
Arbeiten</t>
  </si>
  <si>
    <t>Produktive
Stunden
gesamt</t>
  </si>
  <si>
    <t>Produktive 
Stunden
extern</t>
  </si>
  <si>
    <t>Produktive 
Stunden
intern</t>
  </si>
  <si>
    <t>Abgerechnete
Stunden
insgesamt</t>
  </si>
  <si>
    <t>Abgerechnete
Stunden
intern</t>
  </si>
  <si>
    <t>Abgerechnete
Stunden extern</t>
  </si>
  <si>
    <t>IST-
Produktivität
je Mitarbeiter</t>
  </si>
  <si>
    <t>IST-
Leistungs-
grad je Mitarbeiter</t>
  </si>
  <si>
    <t>IST-
Effektivität je Mitarbeiter</t>
  </si>
  <si>
    <t>Azubi (1. Jahr)</t>
  </si>
  <si>
    <t>Azubi (3. Jahr)</t>
  </si>
  <si>
    <t>&gt; Langzeitkrank</t>
  </si>
  <si>
    <t>Ansatz: Orientierung an konkreten Werkstattkennzahlen</t>
  </si>
  <si>
    <r>
      <rPr>
        <b/>
        <u/>
        <sz val="20"/>
        <color theme="1"/>
        <rFont val="Calibri"/>
        <family val="2"/>
        <scheme val="minor"/>
      </rPr>
      <t>Produktivität</t>
    </r>
    <r>
      <rPr>
        <b/>
        <sz val="20"/>
        <color theme="1"/>
        <rFont val="Calibri"/>
        <family val="2"/>
        <scheme val="minor"/>
      </rPr>
      <t xml:space="preserve"> (produktive Std. / Anwesenheitsstd.) vs. </t>
    </r>
    <r>
      <rPr>
        <b/>
        <u/>
        <sz val="20"/>
        <color theme="1"/>
        <rFont val="Calibri"/>
        <family val="2"/>
        <scheme val="minor"/>
      </rPr>
      <t>Leistungsgrad</t>
    </r>
    <r>
      <rPr>
        <b/>
        <sz val="20"/>
        <color theme="1"/>
        <rFont val="Calibri"/>
        <family val="2"/>
        <scheme val="minor"/>
      </rPr>
      <t xml:space="preserve"> (verkaufte Std. / produktive Std.) vs. </t>
    </r>
    <r>
      <rPr>
        <b/>
        <u/>
        <sz val="20"/>
        <color theme="1"/>
        <rFont val="Calibri"/>
        <family val="2"/>
        <scheme val="minor"/>
      </rPr>
      <t>Effektivität</t>
    </r>
    <r>
      <rPr>
        <b/>
        <sz val="20"/>
        <color theme="1"/>
        <rFont val="Calibri"/>
        <family val="2"/>
        <scheme val="minor"/>
      </rPr>
      <t xml:space="preserve"> (verkaufte Std. / Anwesenheitsstd.)</t>
    </r>
  </si>
  <si>
    <t>Produktivität</t>
  </si>
  <si>
    <t>Leistungsgrad</t>
  </si>
  <si>
    <t>Effektivität</t>
  </si>
  <si>
    <r>
      <rPr>
        <b/>
        <sz val="14"/>
        <color theme="1"/>
        <rFont val="Calibri"/>
        <family val="2"/>
        <scheme val="minor"/>
      </rPr>
      <t>Stufe 1: 95%</t>
    </r>
    <r>
      <rPr>
        <sz val="14"/>
        <color theme="1"/>
        <rFont val="Calibri"/>
        <family val="2"/>
        <scheme val="minor"/>
      </rPr>
      <t xml:space="preserve">
(50,- €)
</t>
    </r>
    <r>
      <rPr>
        <b/>
        <sz val="14"/>
        <color theme="1"/>
        <rFont val="Calibri"/>
        <family val="2"/>
        <scheme val="minor"/>
      </rPr>
      <t>Stufe 2: 100%</t>
    </r>
    <r>
      <rPr>
        <sz val="14"/>
        <color theme="1"/>
        <rFont val="Calibri"/>
        <family val="2"/>
        <scheme val="minor"/>
      </rPr>
      <t xml:space="preserve">
(100,- €)
</t>
    </r>
    <r>
      <rPr>
        <b/>
        <sz val="14"/>
        <color theme="1"/>
        <rFont val="Calibri"/>
        <family val="2"/>
        <scheme val="minor"/>
      </rPr>
      <t>Stufe 3: 105%</t>
    </r>
    <r>
      <rPr>
        <sz val="14"/>
        <color theme="1"/>
        <rFont val="Calibri"/>
        <family val="2"/>
        <scheme val="minor"/>
      </rPr>
      <t xml:space="preserve">
(150,- €)</t>
    </r>
  </si>
  <si>
    <r>
      <rPr>
        <b/>
        <sz val="14"/>
        <color theme="1"/>
        <rFont val="Calibri"/>
        <family val="2"/>
        <scheme val="minor"/>
      </rPr>
      <t>Stufe 1: 80%</t>
    </r>
    <r>
      <rPr>
        <sz val="14"/>
        <color theme="1"/>
        <rFont val="Calibri"/>
        <family val="2"/>
        <scheme val="minor"/>
      </rPr>
      <t xml:space="preserve">
(50,- €)
</t>
    </r>
    <r>
      <rPr>
        <b/>
        <sz val="14"/>
        <color theme="1"/>
        <rFont val="Calibri"/>
        <family val="2"/>
        <scheme val="minor"/>
      </rPr>
      <t>Stufe 2: 85%</t>
    </r>
    <r>
      <rPr>
        <sz val="14"/>
        <color theme="1"/>
        <rFont val="Calibri"/>
        <family val="2"/>
        <scheme val="minor"/>
      </rPr>
      <t xml:space="preserve">
(100,- €)
</t>
    </r>
    <r>
      <rPr>
        <b/>
        <sz val="14"/>
        <color theme="1"/>
        <rFont val="Calibri"/>
        <family val="2"/>
        <scheme val="minor"/>
      </rPr>
      <t>Stufe 3: 90%</t>
    </r>
    <r>
      <rPr>
        <sz val="14"/>
        <color theme="1"/>
        <rFont val="Calibri"/>
        <family val="2"/>
        <scheme val="minor"/>
      </rPr>
      <t xml:space="preserve">
(150,- €)</t>
    </r>
  </si>
  <si>
    <r>
      <t xml:space="preserve">Stufe 1: 50%
</t>
    </r>
    <r>
      <rPr>
        <sz val="14"/>
        <color theme="1"/>
        <rFont val="Calibri"/>
        <family val="2"/>
        <scheme val="minor"/>
      </rPr>
      <t>(25,- €)</t>
    </r>
    <r>
      <rPr>
        <b/>
        <sz val="14"/>
        <color theme="1"/>
        <rFont val="Calibri"/>
        <family val="2"/>
        <scheme val="minor"/>
      </rPr>
      <t xml:space="preserve">
Stufe 2: 55%
</t>
    </r>
    <r>
      <rPr>
        <sz val="14"/>
        <color theme="1"/>
        <rFont val="Calibri"/>
        <family val="2"/>
        <scheme val="minor"/>
      </rPr>
      <t>(50,- €)</t>
    </r>
    <r>
      <rPr>
        <b/>
        <sz val="14"/>
        <color theme="1"/>
        <rFont val="Calibri"/>
        <family val="2"/>
        <scheme val="minor"/>
      </rPr>
      <t xml:space="preserve">
Stufe 3: 60%
</t>
    </r>
    <r>
      <rPr>
        <sz val="14"/>
        <color theme="1"/>
        <rFont val="Calibri"/>
        <family val="2"/>
        <scheme val="minor"/>
      </rPr>
      <t>(75,- €)</t>
    </r>
  </si>
  <si>
    <r>
      <t xml:space="preserve">Stufe 1: 80%
</t>
    </r>
    <r>
      <rPr>
        <sz val="14"/>
        <color theme="1"/>
        <rFont val="Calibri"/>
        <family val="2"/>
        <scheme val="minor"/>
      </rPr>
      <t>(25,- €)</t>
    </r>
    <r>
      <rPr>
        <b/>
        <sz val="14"/>
        <color theme="1"/>
        <rFont val="Calibri"/>
        <family val="2"/>
        <scheme val="minor"/>
      </rPr>
      <t xml:space="preserve">
Stufe 2: 85%
</t>
    </r>
    <r>
      <rPr>
        <sz val="14"/>
        <color theme="1"/>
        <rFont val="Calibri"/>
        <family val="2"/>
        <scheme val="minor"/>
      </rPr>
      <t>(50,- €)</t>
    </r>
    <r>
      <rPr>
        <b/>
        <sz val="14"/>
        <color theme="1"/>
        <rFont val="Calibri"/>
        <family val="2"/>
        <scheme val="minor"/>
      </rPr>
      <t xml:space="preserve">
Stufe 3: 90%
</t>
    </r>
    <r>
      <rPr>
        <sz val="14"/>
        <color theme="1"/>
        <rFont val="Calibri"/>
        <family val="2"/>
        <scheme val="minor"/>
      </rPr>
      <t>(75,- €)</t>
    </r>
  </si>
  <si>
    <r>
      <rPr>
        <b/>
        <sz val="14"/>
        <color theme="1"/>
        <rFont val="Calibri"/>
        <family val="2"/>
        <scheme val="minor"/>
      </rPr>
      <t>Stufe 1: 85%</t>
    </r>
    <r>
      <rPr>
        <sz val="14"/>
        <color theme="1"/>
        <rFont val="Calibri"/>
        <family val="2"/>
        <scheme val="minor"/>
      </rPr>
      <t xml:space="preserve">
(50,- €)
</t>
    </r>
    <r>
      <rPr>
        <b/>
        <sz val="14"/>
        <color theme="1"/>
        <rFont val="Calibri"/>
        <family val="2"/>
        <scheme val="minor"/>
      </rPr>
      <t>Stufe 2: 90%</t>
    </r>
    <r>
      <rPr>
        <sz val="14"/>
        <color theme="1"/>
        <rFont val="Calibri"/>
        <family val="2"/>
        <scheme val="minor"/>
      </rPr>
      <t xml:space="preserve">
(100,- €)
</t>
    </r>
    <r>
      <rPr>
        <b/>
        <sz val="14"/>
        <color theme="1"/>
        <rFont val="Calibri"/>
        <family val="2"/>
        <scheme val="minor"/>
      </rPr>
      <t>Stufe 3: 95%</t>
    </r>
    <r>
      <rPr>
        <sz val="14"/>
        <color theme="1"/>
        <rFont val="Calibri"/>
        <family val="2"/>
        <scheme val="minor"/>
      </rPr>
      <t xml:space="preserve">
(150,- €)</t>
    </r>
  </si>
  <si>
    <r>
      <t xml:space="preserve">Stufe 1: 70%
</t>
    </r>
    <r>
      <rPr>
        <sz val="14"/>
        <color theme="1"/>
        <rFont val="Calibri"/>
        <family val="2"/>
        <scheme val="minor"/>
      </rPr>
      <t>(25,- €)</t>
    </r>
    <r>
      <rPr>
        <b/>
        <sz val="14"/>
        <color theme="1"/>
        <rFont val="Calibri"/>
        <family val="2"/>
        <scheme val="minor"/>
      </rPr>
      <t xml:space="preserve">
Stufe 2: 75%
</t>
    </r>
    <r>
      <rPr>
        <sz val="14"/>
        <color theme="1"/>
        <rFont val="Calibri"/>
        <family val="2"/>
        <scheme val="minor"/>
      </rPr>
      <t>(50,- €)</t>
    </r>
    <r>
      <rPr>
        <b/>
        <sz val="14"/>
        <color theme="1"/>
        <rFont val="Calibri"/>
        <family val="2"/>
        <scheme val="minor"/>
      </rPr>
      <t xml:space="preserve">
Stufe 3: 80%
</t>
    </r>
    <r>
      <rPr>
        <sz val="14"/>
        <color theme="1"/>
        <rFont val="Calibri"/>
        <family val="2"/>
        <scheme val="minor"/>
      </rPr>
      <t>(75,- €)</t>
    </r>
  </si>
  <si>
    <t>Lohn-umsatz
extern</t>
  </si>
  <si>
    <t>Lohn-umsatz
intern</t>
  </si>
  <si>
    <t>Lohn-umsatz
gesamt</t>
  </si>
  <si>
    <t>Lohnumsatz gesamt</t>
  </si>
  <si>
    <t>Lohnumsatz Landtechnik</t>
  </si>
  <si>
    <t>Prämiensumme gesamt:</t>
  </si>
  <si>
    <t>Ganzjahresbetrachtung unter der Annahme, dass die Prämie bereits installiert ist!</t>
  </si>
  <si>
    <t>A</t>
  </si>
  <si>
    <t>B</t>
  </si>
  <si>
    <t>C</t>
  </si>
  <si>
    <t>D</t>
  </si>
  <si>
    <t>E</t>
  </si>
  <si>
    <t>F</t>
  </si>
  <si>
    <t>G</t>
  </si>
  <si>
    <t>Azubi 1</t>
  </si>
  <si>
    <t>Azubi 2</t>
  </si>
  <si>
    <t>Azubi 3</t>
  </si>
  <si>
    <t>Azubi 4</t>
  </si>
  <si>
    <t>IST-
Produktivität
Team</t>
  </si>
  <si>
    <t>ZIEL-Stufen
Produktivität
Team</t>
  </si>
  <si>
    <t>Produktivitäts-
prämie
je Mitarbeiter
pro Monat</t>
  </si>
  <si>
    <t>IST-
Leistungsgrad
Team</t>
  </si>
  <si>
    <t xml:space="preserve">ZIEL-Stufen
Leistungsgrad Team
</t>
  </si>
  <si>
    <t>Leistungsgrad-
prämie je
Mitarbeiter
pro Monat</t>
  </si>
  <si>
    <t>IST-
Effektivität
Team</t>
  </si>
  <si>
    <t xml:space="preserve">ZIEL-Stufen
Effektivität Team
</t>
  </si>
  <si>
    <t>Effektivitäts-prämie je
Mitarbeiter
pro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</si>
</sst>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\ &quot;€&quot;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4" borderId="1" xfId="0" applyFont="1" applyFill="1" applyBorder="1"/>
    <xf numFmtId="0" fontId="1" fillId="2" borderId="1" xfId="0" applyFont="1" applyFill="1" applyBorder="1"/>
    <xf numFmtId="0" fontId="1" fillId="0" borderId="0" xfId="0" applyFont="1"/>
    <xf numFmtId="0" fontId="3" fillId="0" borderId="0" xfId="0" applyFont="1"/>
    <xf numFmtId="0" fontId="2" fillId="5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 wrapText="1"/>
    </xf>
    <xf numFmtId="0" fontId="1" fillId="0" borderId="7" xfId="0" applyFont="1" applyBorder="1"/>
    <xf numFmtId="0" fontId="1" fillId="0" borderId="3" xfId="0" applyFont="1" applyBorder="1"/>
    <xf numFmtId="0" fontId="1" fillId="0" borderId="8" xfId="0" applyFont="1" applyBorder="1"/>
    <xf numFmtId="0" fontId="3" fillId="0" borderId="9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/>
    <xf numFmtId="0" fontId="1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9" fontId="1" fillId="4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6" fontId="1" fillId="4" borderId="1" xfId="0" applyNumberFormat="1" applyFont="1" applyFill="1" applyBorder="1" applyAlignment="1">
      <alignment horizontal="center"/>
    </xf>
    <xf numFmtId="6" fontId="1" fillId="2" borderId="1" xfId="0" applyNumberFormat="1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10" borderId="1" xfId="0" applyFont="1" applyFill="1" applyBorder="1"/>
    <xf numFmtId="0" fontId="5" fillId="10" borderId="1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horizontal="center"/>
    </xf>
    <xf numFmtId="9" fontId="5" fillId="10" borderId="1" xfId="0" applyNumberFormat="1" applyFont="1" applyFill="1" applyBorder="1" applyAlignment="1">
      <alignment horizontal="center"/>
    </xf>
    <xf numFmtId="1" fontId="5" fillId="10" borderId="1" xfId="0" applyNumberFormat="1" applyFont="1" applyFill="1" applyBorder="1" applyAlignment="1">
      <alignment horizontal="center"/>
    </xf>
    <xf numFmtId="6" fontId="5" fillId="10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6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9" fontId="1" fillId="0" borderId="0" xfId="0" applyNumberFormat="1" applyFont="1" applyAlignment="1">
      <alignment horizontal="center"/>
    </xf>
    <xf numFmtId="6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6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1" fontId="1" fillId="0" borderId="4" xfId="0" applyNumberFormat="1" applyFont="1" applyBorder="1" applyAlignment="1">
      <alignment horizontal="center" vertical="top"/>
    </xf>
    <xf numFmtId="164" fontId="2" fillId="7" borderId="8" xfId="0" applyNumberFormat="1" applyFont="1" applyFill="1" applyBorder="1" applyAlignment="1">
      <alignment horizontal="center" vertical="center"/>
    </xf>
    <xf numFmtId="6" fontId="1" fillId="4" borderId="1" xfId="0" applyNumberFormat="1" applyFont="1" applyFill="1" applyBorder="1" applyAlignment="1">
      <alignment horizontal="center" vertical="center"/>
    </xf>
    <xf numFmtId="6" fontId="1" fillId="2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top" wrapText="1"/>
    </xf>
    <xf numFmtId="164" fontId="2" fillId="0" borderId="6" xfId="0" applyNumberFormat="1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top"/>
    </xf>
    <xf numFmtId="0" fontId="2" fillId="5" borderId="13" xfId="0" applyFont="1" applyFill="1" applyBorder="1" applyAlignment="1">
      <alignment horizontal="center" vertical="top"/>
    </xf>
    <xf numFmtId="9" fontId="1" fillId="8" borderId="12" xfId="0" applyNumberFormat="1" applyFont="1" applyFill="1" applyBorder="1" applyAlignment="1">
      <alignment horizontal="center" vertical="center"/>
    </xf>
    <xf numFmtId="9" fontId="1" fillId="8" borderId="13" xfId="0" applyNumberFormat="1" applyFont="1" applyFill="1" applyBorder="1" applyAlignment="1">
      <alignment horizontal="center" vertical="center"/>
    </xf>
    <xf numFmtId="9" fontId="1" fillId="8" borderId="2" xfId="0" applyNumberFormat="1" applyFont="1" applyFill="1" applyBorder="1" applyAlignment="1">
      <alignment horizontal="center" vertical="center"/>
    </xf>
    <xf numFmtId="1" fontId="1" fillId="9" borderId="12" xfId="0" applyNumberFormat="1" applyFont="1" applyFill="1" applyBorder="1" applyAlignment="1">
      <alignment horizontal="center" vertical="center" wrapText="1"/>
    </xf>
    <xf numFmtId="1" fontId="1" fillId="9" borderId="13" xfId="0" applyNumberFormat="1" applyFont="1" applyFill="1" applyBorder="1" applyAlignment="1">
      <alignment horizontal="center" vertical="center"/>
    </xf>
    <xf numFmtId="1" fontId="1" fillId="9" borderId="2" xfId="0" applyNumberFormat="1" applyFont="1" applyFill="1" applyBorder="1" applyAlignment="1">
      <alignment horizontal="center" vertical="center"/>
    </xf>
    <xf numFmtId="164" fontId="1" fillId="4" borderId="12" xfId="0" applyNumberFormat="1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9" fontId="1" fillId="5" borderId="12" xfId="0" applyNumberFormat="1" applyFont="1" applyFill="1" applyBorder="1" applyAlignment="1">
      <alignment horizontal="center" vertical="center"/>
    </xf>
    <xf numFmtId="9" fontId="1" fillId="5" borderId="13" xfId="0" applyNumberFormat="1" applyFont="1" applyFill="1" applyBorder="1" applyAlignment="1">
      <alignment horizontal="center" vertical="center"/>
    </xf>
    <xf numFmtId="9" fontId="1" fillId="5" borderId="2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9" fontId="2" fillId="9" borderId="12" xfId="0" applyNumberFormat="1" applyFont="1" applyFill="1" applyBorder="1" applyAlignment="1">
      <alignment horizontal="center" vertical="center" wrapText="1"/>
    </xf>
    <xf numFmtId="9" fontId="2" fillId="9" borderId="13" xfId="0" applyNumberFormat="1" applyFont="1" applyFill="1" applyBorder="1" applyAlignment="1">
      <alignment horizontal="center" vertical="center" wrapText="1"/>
    </xf>
    <xf numFmtId="9" fontId="2" fillId="9" borderId="2" xfId="0" applyNumberFormat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fan Meisenzahl" id="{73143617-4042-40BF-8604-BF19499481C7}" userId="S::stefan.meisenzahl@msr.de::654f24fa-caa2-46f7-94f2-e291d54481b1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" dT="2024-07-29T08:54:42.90" personId="{73143617-4042-40BF-8604-BF19499481C7}" id="{57078295-6F84-4605-98BE-9CC3AA295016}">
    <text>Bleibt bei der Ermittlung des Mechaniker-Teamwertes außen vor!</text>
  </threadedComment>
  <threadedComment ref="R8" dT="2024-07-29T08:16:48.77" personId="{73143617-4042-40BF-8604-BF19499481C7}" id="{944F210C-21F6-4A4E-8186-65F78F384463}">
    <text>Bleibt bei der Ermittlung des Mechaniker-Teamwertes außen vor!</text>
  </threadedComment>
  <threadedComment ref="W8" dT="2024-07-29T08:16:48.77" personId="{73143617-4042-40BF-8604-BF19499481C7}" id="{73A195CB-A94E-4637-88CD-7E04862E54CA}">
    <text>Bleibt bei der Ermittlung des Mechaniker-Teamwertes außen vor!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7A70-04BF-4CEA-A727-1487A2E3352D}">
  <dimension ref="A1:AD112"/>
  <sheetViews>
    <sheetView tabSelected="1" topLeftCell="A4" zoomScale="50" zoomScaleNormal="50" workbookViewId="0">
      <pane xSplit="2" topLeftCell="C1" activePane="topRight" state="frozen"/>
      <selection pane="topRight" activeCell="I20" sqref="I20"/>
    </sheetView>
  </sheetViews>
  <sheetFormatPr baseColWidth="10" defaultRowHeight="14.5" outlineLevelCol="1" x14ac:dyDescent="0.35"/>
  <cols>
    <col min="2" max="2" width="26.08984375" bestFit="1" customWidth="1"/>
    <col min="3" max="3" width="20.26953125" style="19" bestFit="1" customWidth="1"/>
    <col min="4" max="4" width="18.81640625" style="28" bestFit="1" customWidth="1"/>
    <col min="5" max="5" width="10.26953125" style="28" customWidth="1" outlineLevel="1"/>
    <col min="6" max="7" width="17.1796875" style="19" customWidth="1" outlineLevel="1"/>
    <col min="8" max="8" width="14.08984375" style="28" bestFit="1" customWidth="1"/>
    <col min="9" max="10" width="13" style="29" customWidth="1"/>
    <col min="11" max="11" width="15.36328125" style="28" customWidth="1" outlineLevel="1"/>
    <col min="12" max="12" width="16.26953125" style="28" customWidth="1" outlineLevel="1"/>
    <col min="13" max="13" width="16.26953125" customWidth="1" outlineLevel="1"/>
    <col min="14" max="14" width="17.54296875" customWidth="1" outlineLevel="1"/>
    <col min="15" max="15" width="16.26953125" style="28" bestFit="1" customWidth="1"/>
    <col min="16" max="17" width="16.26953125" style="28" customWidth="1"/>
    <col min="18" max="18" width="13.7265625" style="28" customWidth="1" outlineLevel="1"/>
    <col min="19" max="19" width="16.26953125" style="28" customWidth="1" outlineLevel="1"/>
    <col min="20" max="20" width="16.453125" style="28" customWidth="1" outlineLevel="1"/>
    <col min="21" max="21" width="16.1796875" customWidth="1" outlineLevel="1"/>
    <col min="22" max="22" width="16.1796875" customWidth="1"/>
    <col min="23" max="23" width="13.7265625" style="28" customWidth="1" outlineLevel="1"/>
    <col min="24" max="24" width="16.26953125" style="28" customWidth="1" outlineLevel="1"/>
    <col min="25" max="25" width="16.453125" style="28" customWidth="1" outlineLevel="1"/>
    <col min="26" max="26" width="16.1796875" customWidth="1" outlineLevel="1"/>
    <col min="27" max="27" width="12.08984375" style="28" bestFit="1" customWidth="1"/>
    <col min="28" max="29" width="12.08984375" style="28" customWidth="1"/>
    <col min="30" max="30" width="48.26953125" bestFit="1" customWidth="1"/>
  </cols>
  <sheetData>
    <row r="1" spans="1:30" ht="18.5" x14ac:dyDescent="0.45">
      <c r="A1" s="7"/>
      <c r="B1" s="8"/>
      <c r="C1" s="14"/>
      <c r="D1" s="22"/>
      <c r="E1" s="22"/>
      <c r="F1" s="14"/>
      <c r="G1" s="14"/>
      <c r="H1" s="22"/>
      <c r="I1" s="22"/>
      <c r="J1" s="22"/>
      <c r="K1" s="22"/>
      <c r="L1" s="22"/>
      <c r="M1" s="8"/>
      <c r="N1" s="8"/>
      <c r="O1" s="22"/>
      <c r="P1" s="22"/>
      <c r="Q1" s="22"/>
      <c r="R1" s="22"/>
      <c r="S1" s="22"/>
      <c r="T1" s="22"/>
      <c r="U1" s="8"/>
      <c r="V1" s="8"/>
      <c r="W1" s="22"/>
      <c r="X1" s="22"/>
      <c r="Y1" s="22"/>
      <c r="Z1" s="8"/>
      <c r="AA1" s="22"/>
      <c r="AB1" s="22"/>
      <c r="AC1" s="22"/>
      <c r="AD1" s="9"/>
    </row>
    <row r="2" spans="1:30" s="37" customFormat="1" ht="26" x14ac:dyDescent="0.35">
      <c r="D2" s="39"/>
      <c r="E2" s="39"/>
      <c r="K2" s="39"/>
      <c r="AD2" s="38"/>
    </row>
    <row r="3" spans="1:30" s="4" customFormat="1" ht="26" customHeight="1" x14ac:dyDescent="0.6">
      <c r="A3" s="4" t="s">
        <v>23</v>
      </c>
      <c r="C3" s="15"/>
      <c r="D3" s="23"/>
      <c r="E3" s="23"/>
      <c r="F3" s="15"/>
      <c r="G3" s="15"/>
      <c r="H3" s="23"/>
      <c r="I3" s="23"/>
      <c r="J3" s="23"/>
      <c r="K3" s="23"/>
      <c r="L3" s="23"/>
      <c r="O3" s="23"/>
      <c r="P3" s="23"/>
      <c r="Q3" s="23"/>
      <c r="R3" s="23"/>
      <c r="S3" s="23"/>
      <c r="T3" s="23"/>
      <c r="W3" s="23"/>
      <c r="X3" s="23"/>
      <c r="Y3" s="23"/>
      <c r="AA3" s="23"/>
      <c r="AB3" s="23"/>
      <c r="AC3" s="23"/>
      <c r="AD3" s="10"/>
    </row>
    <row r="4" spans="1:30" s="4" customFormat="1" ht="26" customHeight="1" x14ac:dyDescent="0.6">
      <c r="A4" s="4" t="s">
        <v>24</v>
      </c>
      <c r="C4" s="15"/>
      <c r="D4" s="23"/>
      <c r="E4" s="23"/>
      <c r="F4" s="15"/>
      <c r="G4" s="15"/>
      <c r="H4" s="23"/>
      <c r="I4" s="23"/>
      <c r="J4" s="23"/>
      <c r="K4" s="23"/>
      <c r="L4" s="23"/>
      <c r="O4" s="23"/>
      <c r="P4" s="23"/>
      <c r="Q4" s="23"/>
      <c r="R4" s="23"/>
      <c r="S4" s="23"/>
      <c r="T4" s="23"/>
      <c r="W4" s="23"/>
      <c r="X4" s="23"/>
      <c r="Y4" s="23"/>
      <c r="AA4" s="23"/>
      <c r="AB4" s="23"/>
      <c r="AC4" s="23"/>
      <c r="AD4" s="10"/>
    </row>
    <row r="5" spans="1:30" s="4" customFormat="1" ht="26" customHeight="1" x14ac:dyDescent="0.6">
      <c r="C5" s="15"/>
      <c r="D5" s="23"/>
      <c r="E5" s="23"/>
      <c r="F5" s="15"/>
      <c r="G5" s="15"/>
      <c r="H5" s="23"/>
      <c r="I5" s="23"/>
      <c r="J5" s="23"/>
      <c r="K5" s="23"/>
      <c r="L5" s="23"/>
      <c r="O5" s="23"/>
      <c r="P5" s="23"/>
      <c r="Q5" s="23"/>
      <c r="R5" s="23"/>
      <c r="S5" s="23"/>
      <c r="T5" s="23"/>
      <c r="W5" s="23"/>
      <c r="X5" s="23"/>
      <c r="Y5" s="23"/>
      <c r="AA5" s="23"/>
      <c r="AB5" s="23"/>
      <c r="AC5" s="23"/>
      <c r="AD5" s="10"/>
    </row>
    <row r="6" spans="1:30" ht="21" x14ac:dyDescent="0.45">
      <c r="A6" s="11"/>
      <c r="B6" s="12"/>
      <c r="C6" s="16"/>
      <c r="D6" s="24"/>
      <c r="E6" s="24"/>
      <c r="F6" s="16"/>
      <c r="G6" s="59"/>
      <c r="H6" s="59"/>
      <c r="I6" s="24"/>
      <c r="J6" s="24"/>
      <c r="K6" s="24"/>
      <c r="L6" s="69" t="s">
        <v>25</v>
      </c>
      <c r="M6" s="70"/>
      <c r="N6" s="71"/>
      <c r="O6" s="24"/>
      <c r="P6" s="24"/>
      <c r="Q6" s="24"/>
      <c r="R6" s="24"/>
      <c r="S6" s="69" t="s">
        <v>26</v>
      </c>
      <c r="T6" s="70"/>
      <c r="U6" s="71"/>
      <c r="V6" s="65"/>
      <c r="W6" s="24"/>
      <c r="X6" s="69" t="s">
        <v>27</v>
      </c>
      <c r="Y6" s="70"/>
      <c r="Z6" s="71"/>
      <c r="AA6" s="24"/>
      <c r="AB6" s="24"/>
      <c r="AC6" s="24"/>
      <c r="AD6" s="13"/>
    </row>
    <row r="7" spans="1:30" ht="92.5" x14ac:dyDescent="0.35">
      <c r="A7" s="72" t="s">
        <v>9</v>
      </c>
      <c r="B7" s="5" t="s">
        <v>3</v>
      </c>
      <c r="C7" s="5" t="s">
        <v>4</v>
      </c>
      <c r="D7" s="6" t="s">
        <v>6</v>
      </c>
      <c r="E7" s="6" t="s">
        <v>7</v>
      </c>
      <c r="F7" s="6" t="s">
        <v>5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17</v>
      </c>
      <c r="L7" s="6" t="s">
        <v>52</v>
      </c>
      <c r="M7" s="6" t="s">
        <v>53</v>
      </c>
      <c r="N7" s="6" t="s">
        <v>54</v>
      </c>
      <c r="O7" s="6" t="s">
        <v>14</v>
      </c>
      <c r="P7" s="6" t="s">
        <v>15</v>
      </c>
      <c r="Q7" s="6" t="s">
        <v>16</v>
      </c>
      <c r="R7" s="6" t="s">
        <v>18</v>
      </c>
      <c r="S7" s="6" t="s">
        <v>55</v>
      </c>
      <c r="T7" s="6" t="s">
        <v>56</v>
      </c>
      <c r="U7" s="6" t="s">
        <v>57</v>
      </c>
      <c r="V7" s="66"/>
      <c r="W7" s="6" t="s">
        <v>19</v>
      </c>
      <c r="X7" s="6" t="s">
        <v>58</v>
      </c>
      <c r="Y7" s="6" t="s">
        <v>59</v>
      </c>
      <c r="Z7" s="6" t="s">
        <v>60</v>
      </c>
      <c r="AA7" s="6" t="s">
        <v>36</v>
      </c>
      <c r="AB7" s="6" t="s">
        <v>34</v>
      </c>
      <c r="AC7" s="6" t="s">
        <v>35</v>
      </c>
      <c r="AD7" s="5" t="s">
        <v>8</v>
      </c>
    </row>
    <row r="8" spans="1:30" ht="18.5" x14ac:dyDescent="0.45">
      <c r="A8" s="73"/>
      <c r="B8" s="1" t="s">
        <v>41</v>
      </c>
      <c r="C8" s="17" t="s">
        <v>0</v>
      </c>
      <c r="D8" s="25">
        <v>1805</v>
      </c>
      <c r="E8" s="25">
        <v>108</v>
      </c>
      <c r="F8" s="32">
        <v>0</v>
      </c>
      <c r="G8" s="33">
        <f>D8*F8</f>
        <v>0</v>
      </c>
      <c r="H8" s="25">
        <v>0</v>
      </c>
      <c r="I8" s="42">
        <v>0</v>
      </c>
      <c r="J8" s="25">
        <v>0</v>
      </c>
      <c r="K8" s="32">
        <f>(H8/D8)</f>
        <v>0</v>
      </c>
      <c r="L8" s="74">
        <f>ROUND((H9+H10+H11+H12+H13)/(G9+G10+G11+G12+G13),2)</f>
        <v>0.86</v>
      </c>
      <c r="M8" s="77" t="s">
        <v>29</v>
      </c>
      <c r="N8" s="80" t="str">
        <f>IF(L8&gt;=90%,"150€",IF(L8&gt;=85%,"100€",IF(L8&gt;=80%,"50€","0€")))</f>
        <v>100€</v>
      </c>
      <c r="O8" s="25">
        <f>P8+Q8</f>
        <v>78</v>
      </c>
      <c r="P8" s="25">
        <v>8</v>
      </c>
      <c r="Q8" s="25">
        <v>70</v>
      </c>
      <c r="R8" s="32" t="e">
        <f>O8/H8</f>
        <v>#DIV/0!</v>
      </c>
      <c r="S8" s="83">
        <f>ROUND((O9+O10+O11+O12+O13)/(H9+H10+H11+H12+H13),2)</f>
        <v>1.05</v>
      </c>
      <c r="T8" s="77" t="s">
        <v>28</v>
      </c>
      <c r="U8" s="80" t="str">
        <f>IF(S8&gt;=105%,"150€",IF(S8&gt;=100%,"100€",IF(S8&gt;=95%,"50€","0€")))</f>
        <v>150€</v>
      </c>
      <c r="V8" s="64"/>
      <c r="W8" s="32" t="e">
        <f>O8/G8</f>
        <v>#DIV/0!</v>
      </c>
      <c r="X8" s="74">
        <f>ROUND((O9+O10+O11+O12+O13)/(G9+G10+G11+G12+G13),2)</f>
        <v>0.9</v>
      </c>
      <c r="Y8" s="77" t="s">
        <v>32</v>
      </c>
      <c r="Z8" s="80" t="str">
        <f>IF(X8&gt;=95%,"150€",IF(X8&gt;=90%,"100€",IF(X8&gt;=85%,"50€","0€")))</f>
        <v>100€</v>
      </c>
      <c r="AA8" s="30"/>
      <c r="AB8" s="63"/>
      <c r="AC8" s="63"/>
      <c r="AD8" s="1"/>
    </row>
    <row r="9" spans="1:30" ht="18.5" x14ac:dyDescent="0.45">
      <c r="A9" s="73"/>
      <c r="B9" s="1" t="s">
        <v>42</v>
      </c>
      <c r="C9" s="17" t="s">
        <v>1</v>
      </c>
      <c r="D9" s="25">
        <v>2004</v>
      </c>
      <c r="E9" s="25">
        <v>0</v>
      </c>
      <c r="F9" s="32">
        <v>0.7</v>
      </c>
      <c r="G9" s="33">
        <f>D9*F9</f>
        <v>1402.8</v>
      </c>
      <c r="H9" s="25">
        <v>1299</v>
      </c>
      <c r="I9" s="42">
        <v>922</v>
      </c>
      <c r="J9" s="25">
        <v>377</v>
      </c>
      <c r="K9" s="32">
        <f>(H9/G9)</f>
        <v>0.92600513259195893</v>
      </c>
      <c r="L9" s="75"/>
      <c r="M9" s="78"/>
      <c r="N9" s="81"/>
      <c r="O9" s="25">
        <f>P9+Q9</f>
        <v>1535</v>
      </c>
      <c r="P9" s="25">
        <v>471</v>
      </c>
      <c r="Q9" s="25">
        <v>1064</v>
      </c>
      <c r="R9" s="20">
        <f>O9/H9</f>
        <v>1.1816782140107776</v>
      </c>
      <c r="S9" s="84"/>
      <c r="T9" s="78"/>
      <c r="U9" s="81"/>
      <c r="V9" s="64"/>
      <c r="W9" s="20">
        <f>O9/G9</f>
        <v>1.0942400912460792</v>
      </c>
      <c r="X9" s="75"/>
      <c r="Y9" s="78"/>
      <c r="Z9" s="81"/>
      <c r="AA9" s="30"/>
      <c r="AB9" s="61"/>
      <c r="AC9" s="61"/>
      <c r="AD9" s="1"/>
    </row>
    <row r="10" spans="1:30" ht="18.5" x14ac:dyDescent="0.45">
      <c r="A10" s="73"/>
      <c r="B10" s="2" t="s">
        <v>43</v>
      </c>
      <c r="C10" s="18" t="s">
        <v>2</v>
      </c>
      <c r="D10" s="26">
        <v>1898</v>
      </c>
      <c r="E10" s="26">
        <v>40</v>
      </c>
      <c r="F10" s="21">
        <v>1</v>
      </c>
      <c r="G10" s="34">
        <f>D10*F10</f>
        <v>1898</v>
      </c>
      <c r="H10" s="26">
        <v>1601</v>
      </c>
      <c r="I10" s="40">
        <v>1044</v>
      </c>
      <c r="J10" s="26">
        <v>557</v>
      </c>
      <c r="K10" s="21">
        <f>(H10/G10)</f>
        <v>0.84351949420442573</v>
      </c>
      <c r="L10" s="75"/>
      <c r="M10" s="78"/>
      <c r="N10" s="81"/>
      <c r="O10" s="26">
        <f>P10+Q10</f>
        <v>1632</v>
      </c>
      <c r="P10" s="26">
        <v>596</v>
      </c>
      <c r="Q10" s="26">
        <v>1036</v>
      </c>
      <c r="R10" s="21">
        <f>O10/H10</f>
        <v>1.019362898188632</v>
      </c>
      <c r="S10" s="84"/>
      <c r="T10" s="78"/>
      <c r="U10" s="81"/>
      <c r="V10" s="64"/>
      <c r="W10" s="21">
        <f>O9/G9</f>
        <v>1.0942400912460792</v>
      </c>
      <c r="X10" s="75"/>
      <c r="Y10" s="78"/>
      <c r="Z10" s="81"/>
      <c r="AA10" s="31"/>
      <c r="AB10" s="62"/>
      <c r="AC10" s="62"/>
      <c r="AD10" s="2"/>
    </row>
    <row r="11" spans="1:30" ht="18.5" x14ac:dyDescent="0.45">
      <c r="A11" s="73"/>
      <c r="B11" s="2" t="s">
        <v>44</v>
      </c>
      <c r="C11" s="18" t="s">
        <v>2</v>
      </c>
      <c r="D11" s="26">
        <v>1904</v>
      </c>
      <c r="E11" s="26">
        <v>0</v>
      </c>
      <c r="F11" s="21">
        <v>1</v>
      </c>
      <c r="G11" s="34">
        <f t="shared" ref="G11:G13" si="0">D11*F11</f>
        <v>1904</v>
      </c>
      <c r="H11" s="26">
        <v>1563</v>
      </c>
      <c r="I11" s="40">
        <v>873</v>
      </c>
      <c r="J11" s="26">
        <v>690</v>
      </c>
      <c r="K11" s="21">
        <f t="shared" ref="K11:K13" si="1">(H11/G11)</f>
        <v>0.82090336134453779</v>
      </c>
      <c r="L11" s="75"/>
      <c r="M11" s="78"/>
      <c r="N11" s="81"/>
      <c r="O11" s="26">
        <f t="shared" ref="O11:O13" si="2">P11+Q11</f>
        <v>1596</v>
      </c>
      <c r="P11" s="26">
        <v>726</v>
      </c>
      <c r="Q11" s="26">
        <v>870</v>
      </c>
      <c r="R11" s="21">
        <f t="shared" ref="R11:R13" si="3">O11/H11</f>
        <v>1.0211132437619961</v>
      </c>
      <c r="S11" s="84"/>
      <c r="T11" s="78"/>
      <c r="U11" s="81"/>
      <c r="V11" s="64"/>
      <c r="W11" s="21">
        <f t="shared" ref="W11:W13" si="4">O10/G10</f>
        <v>0.8598524762908325</v>
      </c>
      <c r="X11" s="75"/>
      <c r="Y11" s="78"/>
      <c r="Z11" s="81"/>
      <c r="AA11" s="31"/>
      <c r="AB11" s="62"/>
      <c r="AC11" s="62"/>
      <c r="AD11" s="2"/>
    </row>
    <row r="12" spans="1:30" ht="18.5" x14ac:dyDescent="0.45">
      <c r="A12" s="73"/>
      <c r="B12" s="2" t="s">
        <v>45</v>
      </c>
      <c r="C12" s="18" t="s">
        <v>2</v>
      </c>
      <c r="D12" s="26">
        <v>1813</v>
      </c>
      <c r="E12" s="26">
        <v>96</v>
      </c>
      <c r="F12" s="21">
        <v>1</v>
      </c>
      <c r="G12" s="34">
        <f t="shared" si="0"/>
        <v>1813</v>
      </c>
      <c r="H12" s="26">
        <v>1575</v>
      </c>
      <c r="I12" s="40">
        <v>1218</v>
      </c>
      <c r="J12" s="26">
        <v>356</v>
      </c>
      <c r="K12" s="21">
        <f t="shared" si="1"/>
        <v>0.86872586872586877</v>
      </c>
      <c r="L12" s="75"/>
      <c r="M12" s="78"/>
      <c r="N12" s="81"/>
      <c r="O12" s="26">
        <f t="shared" si="2"/>
        <v>1507</v>
      </c>
      <c r="P12" s="26">
        <v>439</v>
      </c>
      <c r="Q12" s="26">
        <v>1068</v>
      </c>
      <c r="R12" s="21">
        <f t="shared" si="3"/>
        <v>0.9568253968253968</v>
      </c>
      <c r="S12" s="84"/>
      <c r="T12" s="78"/>
      <c r="U12" s="81"/>
      <c r="V12" s="64"/>
      <c r="W12" s="21">
        <f t="shared" si="4"/>
        <v>0.83823529411764708</v>
      </c>
      <c r="X12" s="75"/>
      <c r="Y12" s="78"/>
      <c r="Z12" s="81"/>
      <c r="AA12" s="31"/>
      <c r="AB12" s="62"/>
      <c r="AC12" s="62"/>
      <c r="AD12" s="2"/>
    </row>
    <row r="13" spans="1:30" ht="18.5" x14ac:dyDescent="0.45">
      <c r="A13" s="73"/>
      <c r="B13" s="2" t="s">
        <v>46</v>
      </c>
      <c r="C13" s="18" t="s">
        <v>2</v>
      </c>
      <c r="D13" s="26">
        <v>1016</v>
      </c>
      <c r="E13" s="26">
        <v>912</v>
      </c>
      <c r="F13" s="21">
        <v>1</v>
      </c>
      <c r="G13" s="34">
        <f t="shared" si="0"/>
        <v>1016</v>
      </c>
      <c r="H13" s="26">
        <v>836</v>
      </c>
      <c r="I13" s="40">
        <v>724</v>
      </c>
      <c r="J13" s="26">
        <v>112</v>
      </c>
      <c r="K13" s="21">
        <f t="shared" si="1"/>
        <v>0.82283464566929132</v>
      </c>
      <c r="L13" s="75"/>
      <c r="M13" s="78"/>
      <c r="N13" s="81"/>
      <c r="O13" s="26">
        <f t="shared" si="2"/>
        <v>929</v>
      </c>
      <c r="P13" s="26">
        <v>114</v>
      </c>
      <c r="Q13" s="26">
        <v>815</v>
      </c>
      <c r="R13" s="21">
        <f t="shared" si="3"/>
        <v>1.111244019138756</v>
      </c>
      <c r="S13" s="84"/>
      <c r="T13" s="78"/>
      <c r="U13" s="81"/>
      <c r="V13" s="64"/>
      <c r="W13" s="21">
        <f t="shared" si="4"/>
        <v>0.83121897407611689</v>
      </c>
      <c r="X13" s="75"/>
      <c r="Y13" s="78"/>
      <c r="Z13" s="81"/>
      <c r="AA13" s="31"/>
      <c r="AB13" s="62"/>
      <c r="AC13" s="62"/>
      <c r="AD13" s="2"/>
    </row>
    <row r="14" spans="1:30" ht="18.5" x14ac:dyDescent="0.45">
      <c r="A14" s="73"/>
      <c r="B14" s="43" t="s">
        <v>47</v>
      </c>
      <c r="C14" s="44" t="s">
        <v>2</v>
      </c>
      <c r="D14" s="45">
        <v>0</v>
      </c>
      <c r="E14" s="45">
        <v>2072</v>
      </c>
      <c r="F14" s="46">
        <v>1</v>
      </c>
      <c r="G14" s="47">
        <f>D14*F14</f>
        <v>0</v>
      </c>
      <c r="H14" s="45">
        <v>0</v>
      </c>
      <c r="I14" s="68">
        <v>0</v>
      </c>
      <c r="J14" s="45">
        <v>0</v>
      </c>
      <c r="K14" s="46">
        <v>0</v>
      </c>
      <c r="L14" s="76"/>
      <c r="M14" s="79"/>
      <c r="N14" s="82"/>
      <c r="O14" s="45">
        <v>0</v>
      </c>
      <c r="P14" s="45">
        <v>0</v>
      </c>
      <c r="Q14" s="45">
        <v>0</v>
      </c>
      <c r="R14" s="46">
        <v>0</v>
      </c>
      <c r="S14" s="85"/>
      <c r="T14" s="79"/>
      <c r="U14" s="81"/>
      <c r="V14" s="64"/>
      <c r="W14" s="46">
        <v>0</v>
      </c>
      <c r="X14" s="76"/>
      <c r="Y14" s="79"/>
      <c r="Z14" s="81"/>
      <c r="AA14" s="48">
        <f t="shared" ref="AA14" si="5">AB14+AC14</f>
        <v>0</v>
      </c>
      <c r="AB14" s="48">
        <v>0</v>
      </c>
      <c r="AC14" s="48">
        <v>0</v>
      </c>
      <c r="AD14" s="43" t="s">
        <v>22</v>
      </c>
    </row>
    <row r="15" spans="1:30" s="53" customFormat="1" ht="40" customHeight="1" x14ac:dyDescent="0.35">
      <c r="A15" s="73"/>
      <c r="B15" s="49" t="s">
        <v>48</v>
      </c>
      <c r="C15" s="41" t="s">
        <v>20</v>
      </c>
      <c r="D15" s="41">
        <v>997</v>
      </c>
      <c r="E15" s="41">
        <v>392</v>
      </c>
      <c r="F15" s="50">
        <v>1</v>
      </c>
      <c r="G15" s="51">
        <f>D15*F15</f>
        <v>997</v>
      </c>
      <c r="H15" s="41">
        <v>619</v>
      </c>
      <c r="I15" s="41">
        <v>296</v>
      </c>
      <c r="J15" s="41">
        <v>323</v>
      </c>
      <c r="K15" s="50">
        <f>(H15/G15)</f>
        <v>0.62086258776328984</v>
      </c>
      <c r="L15" s="74">
        <f>ROUND((H15+H16+H17+H18)/(G15+G16+G17+G18),2)</f>
        <v>0.67</v>
      </c>
      <c r="M15" s="88" t="s">
        <v>30</v>
      </c>
      <c r="N15" s="80" t="str">
        <f>IF(L15&gt;=60%,"75€",IF(L15&gt;=55%,"50€",IF(L15&gt;=50%,"25€","0€")))</f>
        <v>75€</v>
      </c>
      <c r="O15" s="41">
        <f>P15+Q15</f>
        <v>615</v>
      </c>
      <c r="P15" s="41">
        <v>327</v>
      </c>
      <c r="Q15" s="41">
        <v>288</v>
      </c>
      <c r="R15" s="50">
        <f>O15/H15</f>
        <v>0.99353796445880449</v>
      </c>
      <c r="S15" s="74">
        <f>ROUND((O15+O16+O17+O18)/(H15+H16+H17+H18),2)</f>
        <v>0.98</v>
      </c>
      <c r="T15" s="88" t="s">
        <v>31</v>
      </c>
      <c r="U15" s="80" t="str">
        <f>IF(S15&gt;=90%,"75€",IF(S15&gt;=85%,"50€",IF(S15&gt;=80%,"25€","0€")))</f>
        <v>75€</v>
      </c>
      <c r="V15" s="64"/>
      <c r="W15" s="50">
        <f>O15/G15</f>
        <v>0.61685055165496494</v>
      </c>
      <c r="X15" s="74">
        <f>ROUND((O15+O16+O17+O18)/(G15+G16+G17+G18),2)</f>
        <v>0.65</v>
      </c>
      <c r="Y15" s="88" t="s">
        <v>33</v>
      </c>
      <c r="Z15" s="80" t="str">
        <f>IF(X15&gt;=80%,"75€",IF(X15&gt;=75%,"50€",IF(X15&gt;=70%,"25€","0€")))</f>
        <v>0€</v>
      </c>
      <c r="AA15" s="52"/>
      <c r="AB15" s="52"/>
      <c r="AC15" s="52"/>
      <c r="AD15" s="49"/>
    </row>
    <row r="16" spans="1:30" s="53" customFormat="1" ht="40" customHeight="1" x14ac:dyDescent="0.35">
      <c r="A16" s="73"/>
      <c r="B16" s="49" t="s">
        <v>49</v>
      </c>
      <c r="C16" s="41" t="s">
        <v>21</v>
      </c>
      <c r="D16" s="41">
        <v>1426</v>
      </c>
      <c r="E16" s="41">
        <v>24</v>
      </c>
      <c r="F16" s="50">
        <v>1</v>
      </c>
      <c r="G16" s="51">
        <f t="shared" ref="G16:G18" si="6">D16*F16</f>
        <v>1426</v>
      </c>
      <c r="H16" s="41">
        <v>1089</v>
      </c>
      <c r="I16" s="41">
        <v>727</v>
      </c>
      <c r="J16" s="41">
        <v>362</v>
      </c>
      <c r="K16" s="50">
        <f t="shared" ref="K16:K18" si="7">(H16/G16)</f>
        <v>0.76367461430575034</v>
      </c>
      <c r="L16" s="75"/>
      <c r="M16" s="89"/>
      <c r="N16" s="81"/>
      <c r="O16" s="41">
        <f t="shared" ref="O16:O18" si="8">P16+Q16</f>
        <v>1088</v>
      </c>
      <c r="P16" s="41">
        <v>371</v>
      </c>
      <c r="Q16" s="41">
        <v>717</v>
      </c>
      <c r="R16" s="50">
        <f>O16/H16</f>
        <v>0.99908172635445358</v>
      </c>
      <c r="S16" s="75"/>
      <c r="T16" s="89"/>
      <c r="U16" s="81"/>
      <c r="V16" s="64"/>
      <c r="W16" s="50">
        <f t="shared" ref="W16:W18" si="9">O16/G16</f>
        <v>0.76297335203366057</v>
      </c>
      <c r="X16" s="75"/>
      <c r="Y16" s="89"/>
      <c r="Z16" s="81"/>
      <c r="AA16" s="52"/>
      <c r="AB16" s="52"/>
      <c r="AC16" s="52"/>
      <c r="AD16" s="49"/>
    </row>
    <row r="17" spans="1:30" s="53" customFormat="1" ht="40" customHeight="1" x14ac:dyDescent="0.35">
      <c r="A17" s="73"/>
      <c r="B17" s="49" t="s">
        <v>50</v>
      </c>
      <c r="C17" s="41" t="s">
        <v>20</v>
      </c>
      <c r="D17" s="41">
        <v>1287</v>
      </c>
      <c r="E17" s="41">
        <v>80</v>
      </c>
      <c r="F17" s="50">
        <v>1</v>
      </c>
      <c r="G17" s="51">
        <f t="shared" si="6"/>
        <v>1287</v>
      </c>
      <c r="H17" s="41">
        <v>787</v>
      </c>
      <c r="I17" s="41">
        <v>476</v>
      </c>
      <c r="J17" s="41">
        <v>311</v>
      </c>
      <c r="K17" s="50">
        <f t="shared" si="7"/>
        <v>0.61149961149961152</v>
      </c>
      <c r="L17" s="75"/>
      <c r="M17" s="89"/>
      <c r="N17" s="81"/>
      <c r="O17" s="41">
        <f t="shared" si="8"/>
        <v>765</v>
      </c>
      <c r="P17" s="41">
        <v>291</v>
      </c>
      <c r="Q17" s="41">
        <v>474</v>
      </c>
      <c r="R17" s="50">
        <f>O17/H17</f>
        <v>0.97204574332909788</v>
      </c>
      <c r="S17" s="75"/>
      <c r="T17" s="89"/>
      <c r="U17" s="81"/>
      <c r="V17" s="64"/>
      <c r="W17" s="50">
        <f t="shared" si="9"/>
        <v>0.59440559440559437</v>
      </c>
      <c r="X17" s="75"/>
      <c r="Y17" s="89"/>
      <c r="Z17" s="81"/>
      <c r="AA17" s="52"/>
      <c r="AB17" s="52"/>
      <c r="AC17" s="52"/>
      <c r="AD17" s="49"/>
    </row>
    <row r="18" spans="1:30" s="53" customFormat="1" ht="40" customHeight="1" x14ac:dyDescent="0.35">
      <c r="A18" s="73"/>
      <c r="B18" s="49" t="s">
        <v>51</v>
      </c>
      <c r="C18" s="41" t="s">
        <v>20</v>
      </c>
      <c r="D18" s="41">
        <v>320</v>
      </c>
      <c r="E18" s="41">
        <v>0</v>
      </c>
      <c r="F18" s="50">
        <v>1</v>
      </c>
      <c r="G18" s="51">
        <f t="shared" si="6"/>
        <v>320</v>
      </c>
      <c r="H18" s="41">
        <v>192</v>
      </c>
      <c r="I18" s="41">
        <v>134</v>
      </c>
      <c r="J18" s="41">
        <v>58</v>
      </c>
      <c r="K18" s="50">
        <f t="shared" si="7"/>
        <v>0.6</v>
      </c>
      <c r="L18" s="76"/>
      <c r="M18" s="90"/>
      <c r="N18" s="82"/>
      <c r="O18" s="41">
        <f t="shared" si="8"/>
        <v>156</v>
      </c>
      <c r="P18" s="41">
        <v>45</v>
      </c>
      <c r="Q18" s="41">
        <v>111</v>
      </c>
      <c r="R18" s="50">
        <f>O18/H18</f>
        <v>0.8125</v>
      </c>
      <c r="S18" s="76"/>
      <c r="T18" s="90"/>
      <c r="U18" s="82"/>
      <c r="V18" s="64"/>
      <c r="W18" s="50">
        <f t="shared" si="9"/>
        <v>0.48749999999999999</v>
      </c>
      <c r="X18" s="76"/>
      <c r="Y18" s="90"/>
      <c r="Z18" s="82"/>
      <c r="AA18" s="52"/>
      <c r="AB18" s="52"/>
      <c r="AC18" s="52"/>
      <c r="AD18" s="49"/>
    </row>
    <row r="19" spans="1:30" ht="18.5" x14ac:dyDescent="0.45">
      <c r="A19" s="8"/>
      <c r="B19" s="8"/>
      <c r="C19" s="8"/>
      <c r="D19" s="22"/>
      <c r="E19" s="22"/>
      <c r="F19" s="8"/>
      <c r="G19" s="8"/>
      <c r="H19" s="8"/>
      <c r="I19" s="8"/>
      <c r="J19" s="8"/>
      <c r="K19" s="22"/>
      <c r="L19" s="86" t="s">
        <v>39</v>
      </c>
      <c r="M19" s="87"/>
      <c r="N19" s="60">
        <f>((N8*6)+(N15*4))*12</f>
        <v>10800</v>
      </c>
      <c r="O19" s="35"/>
      <c r="P19" s="22"/>
      <c r="Q19" s="22"/>
      <c r="R19" s="36"/>
      <c r="S19" s="86" t="s">
        <v>39</v>
      </c>
      <c r="T19" s="87"/>
      <c r="U19" s="60">
        <f>((U8*6)+(U15*4))*12</f>
        <v>14400</v>
      </c>
      <c r="V19" s="67"/>
      <c r="W19" s="36"/>
      <c r="X19" s="86" t="s">
        <v>39</v>
      </c>
      <c r="Y19" s="87"/>
      <c r="Z19" s="60">
        <f>((Z8*6)+(Z15*4))*12</f>
        <v>7200</v>
      </c>
      <c r="AA19" s="55">
        <f>SUM(AA8:AA18)</f>
        <v>0</v>
      </c>
      <c r="AB19" s="55">
        <f>SUM(AB8:AB18)</f>
        <v>0</v>
      </c>
      <c r="AC19" s="55">
        <f>SUM(AC8:AC18)</f>
        <v>0</v>
      </c>
      <c r="AD19" s="56" t="s">
        <v>37</v>
      </c>
    </row>
    <row r="20" spans="1:30" ht="59" customHeight="1" x14ac:dyDescent="0.45">
      <c r="A20" s="3"/>
      <c r="B20" s="3"/>
      <c r="C20" s="3"/>
      <c r="D20" s="27"/>
      <c r="E20" s="27"/>
      <c r="F20" s="3"/>
      <c r="G20" s="3"/>
      <c r="H20" s="3"/>
      <c r="I20" s="3"/>
      <c r="J20" s="3"/>
      <c r="K20" s="27"/>
      <c r="L20" s="91" t="s">
        <v>40</v>
      </c>
      <c r="M20" s="92"/>
      <c r="N20" s="93"/>
      <c r="O20" s="27"/>
      <c r="P20" s="27"/>
      <c r="Q20" s="27"/>
      <c r="R20" s="54"/>
      <c r="S20" s="91" t="s">
        <v>40</v>
      </c>
      <c r="T20" s="92"/>
      <c r="U20" s="93"/>
      <c r="V20" s="67"/>
      <c r="W20" s="54"/>
      <c r="X20" s="91" t="s">
        <v>40</v>
      </c>
      <c r="Y20" s="92"/>
      <c r="Z20" s="93"/>
      <c r="AA20" s="57">
        <f>SUM(AA8:AA18)</f>
        <v>0</v>
      </c>
      <c r="AB20" s="57">
        <f t="shared" ref="AB20:AC20" si="10">SUM(AB8:AB18)</f>
        <v>0</v>
      </c>
      <c r="AC20" s="57">
        <f t="shared" si="10"/>
        <v>0</v>
      </c>
      <c r="AD20" s="58" t="s">
        <v>38</v>
      </c>
    </row>
    <row r="21" spans="1:30" x14ac:dyDescent="0.35">
      <c r="I21" s="28"/>
      <c r="J21" s="28"/>
    </row>
    <row r="22" spans="1:30" x14ac:dyDescent="0.35">
      <c r="I22" s="28"/>
      <c r="J22" s="28"/>
    </row>
    <row r="23" spans="1:30" x14ac:dyDescent="0.35">
      <c r="I23" s="28"/>
      <c r="J23" s="28"/>
    </row>
    <row r="24" spans="1:30" x14ac:dyDescent="0.35">
      <c r="I24" s="28"/>
      <c r="J24" s="28"/>
    </row>
    <row r="25" spans="1:30" x14ac:dyDescent="0.35">
      <c r="I25" s="28"/>
      <c r="J25" s="28"/>
    </row>
    <row r="26" spans="1:30" x14ac:dyDescent="0.35">
      <c r="I26" s="28"/>
      <c r="J26" s="28"/>
    </row>
    <row r="27" spans="1:30" x14ac:dyDescent="0.35">
      <c r="I27" s="28"/>
      <c r="J27" s="28"/>
    </row>
    <row r="28" spans="1:30" x14ac:dyDescent="0.35">
      <c r="I28" s="28"/>
      <c r="J28" s="28"/>
    </row>
    <row r="29" spans="1:30" x14ac:dyDescent="0.35">
      <c r="I29" s="28"/>
      <c r="J29" s="28"/>
    </row>
    <row r="30" spans="1:30" x14ac:dyDescent="0.35">
      <c r="I30" s="28"/>
      <c r="J30" s="28"/>
    </row>
    <row r="31" spans="1:30" x14ac:dyDescent="0.35">
      <c r="I31" s="28"/>
      <c r="J31" s="28"/>
    </row>
    <row r="32" spans="1:30" x14ac:dyDescent="0.35">
      <c r="I32" s="28"/>
      <c r="J32" s="28"/>
    </row>
    <row r="33" spans="9:10" x14ac:dyDescent="0.35">
      <c r="I33" s="28"/>
      <c r="J33" s="28"/>
    </row>
    <row r="34" spans="9:10" x14ac:dyDescent="0.35">
      <c r="I34" s="28"/>
      <c r="J34" s="28"/>
    </row>
    <row r="35" spans="9:10" x14ac:dyDescent="0.35">
      <c r="I35" s="28"/>
      <c r="J35" s="28"/>
    </row>
    <row r="36" spans="9:10" x14ac:dyDescent="0.35">
      <c r="I36" s="28"/>
      <c r="J36" s="28"/>
    </row>
    <row r="37" spans="9:10" x14ac:dyDescent="0.35">
      <c r="I37" s="28"/>
      <c r="J37" s="28"/>
    </row>
    <row r="38" spans="9:10" x14ac:dyDescent="0.35">
      <c r="I38" s="28"/>
      <c r="J38" s="28"/>
    </row>
    <row r="39" spans="9:10" x14ac:dyDescent="0.35">
      <c r="I39" s="28"/>
      <c r="J39" s="28"/>
    </row>
    <row r="40" spans="9:10" x14ac:dyDescent="0.35">
      <c r="I40" s="28"/>
      <c r="J40" s="28"/>
    </row>
    <row r="41" spans="9:10" x14ac:dyDescent="0.35">
      <c r="I41" s="28"/>
      <c r="J41" s="28"/>
    </row>
    <row r="42" spans="9:10" x14ac:dyDescent="0.35">
      <c r="I42" s="28"/>
      <c r="J42" s="28"/>
    </row>
    <row r="43" spans="9:10" x14ac:dyDescent="0.35">
      <c r="I43" s="28"/>
      <c r="J43" s="28"/>
    </row>
    <row r="44" spans="9:10" x14ac:dyDescent="0.35">
      <c r="I44" s="28"/>
      <c r="J44" s="28"/>
    </row>
    <row r="45" spans="9:10" x14ac:dyDescent="0.35">
      <c r="I45" s="28"/>
      <c r="J45" s="28"/>
    </row>
    <row r="46" spans="9:10" x14ac:dyDescent="0.35">
      <c r="I46" s="28"/>
      <c r="J46" s="28"/>
    </row>
    <row r="47" spans="9:10" x14ac:dyDescent="0.35">
      <c r="I47" s="28"/>
      <c r="J47" s="28"/>
    </row>
    <row r="48" spans="9:10" x14ac:dyDescent="0.35">
      <c r="I48" s="28"/>
      <c r="J48" s="28"/>
    </row>
    <row r="49" spans="9:10" x14ac:dyDescent="0.35">
      <c r="I49" s="28"/>
      <c r="J49" s="28"/>
    </row>
    <row r="50" spans="9:10" x14ac:dyDescent="0.35">
      <c r="I50" s="28"/>
      <c r="J50" s="28"/>
    </row>
    <row r="51" spans="9:10" x14ac:dyDescent="0.35">
      <c r="I51" s="28"/>
      <c r="J51" s="28"/>
    </row>
    <row r="52" spans="9:10" x14ac:dyDescent="0.35">
      <c r="I52" s="28"/>
      <c r="J52" s="28"/>
    </row>
    <row r="53" spans="9:10" x14ac:dyDescent="0.35">
      <c r="I53" s="28"/>
      <c r="J53" s="28"/>
    </row>
    <row r="54" spans="9:10" x14ac:dyDescent="0.35">
      <c r="I54" s="28"/>
      <c r="J54" s="28"/>
    </row>
    <row r="55" spans="9:10" x14ac:dyDescent="0.35">
      <c r="I55" s="28"/>
      <c r="J55" s="28"/>
    </row>
    <row r="56" spans="9:10" x14ac:dyDescent="0.35">
      <c r="I56" s="28"/>
      <c r="J56" s="28"/>
    </row>
    <row r="57" spans="9:10" x14ac:dyDescent="0.35">
      <c r="I57" s="28"/>
      <c r="J57" s="28"/>
    </row>
    <row r="58" spans="9:10" x14ac:dyDescent="0.35">
      <c r="I58" s="28"/>
      <c r="J58" s="28"/>
    </row>
    <row r="59" spans="9:10" x14ac:dyDescent="0.35">
      <c r="I59" s="28"/>
      <c r="J59" s="28"/>
    </row>
    <row r="60" spans="9:10" x14ac:dyDescent="0.35">
      <c r="I60" s="28"/>
      <c r="J60" s="28"/>
    </row>
    <row r="61" spans="9:10" x14ac:dyDescent="0.35">
      <c r="I61" s="28"/>
      <c r="J61" s="28"/>
    </row>
    <row r="62" spans="9:10" x14ac:dyDescent="0.35">
      <c r="I62" s="28"/>
      <c r="J62" s="28"/>
    </row>
    <row r="63" spans="9:10" x14ac:dyDescent="0.35">
      <c r="I63" s="28"/>
      <c r="J63" s="28"/>
    </row>
    <row r="64" spans="9:10" x14ac:dyDescent="0.35">
      <c r="I64" s="28"/>
      <c r="J64" s="28"/>
    </row>
    <row r="65" spans="9:10" x14ac:dyDescent="0.35">
      <c r="I65" s="28"/>
      <c r="J65" s="28"/>
    </row>
    <row r="66" spans="9:10" x14ac:dyDescent="0.35">
      <c r="I66" s="28"/>
      <c r="J66" s="28"/>
    </row>
    <row r="67" spans="9:10" x14ac:dyDescent="0.35">
      <c r="I67" s="28"/>
      <c r="J67" s="28"/>
    </row>
    <row r="68" spans="9:10" x14ac:dyDescent="0.35">
      <c r="I68" s="28"/>
      <c r="J68" s="28"/>
    </row>
    <row r="69" spans="9:10" x14ac:dyDescent="0.35">
      <c r="I69" s="28"/>
      <c r="J69" s="28"/>
    </row>
    <row r="70" spans="9:10" x14ac:dyDescent="0.35">
      <c r="I70" s="28"/>
      <c r="J70" s="28"/>
    </row>
    <row r="71" spans="9:10" x14ac:dyDescent="0.35">
      <c r="I71" s="28"/>
      <c r="J71" s="28"/>
    </row>
    <row r="72" spans="9:10" x14ac:dyDescent="0.35">
      <c r="I72" s="28"/>
      <c r="J72" s="28"/>
    </row>
    <row r="73" spans="9:10" x14ac:dyDescent="0.35">
      <c r="I73" s="28"/>
      <c r="J73" s="28"/>
    </row>
    <row r="74" spans="9:10" x14ac:dyDescent="0.35">
      <c r="I74" s="28"/>
      <c r="J74" s="28"/>
    </row>
    <row r="75" spans="9:10" x14ac:dyDescent="0.35">
      <c r="I75" s="28"/>
      <c r="J75" s="28"/>
    </row>
    <row r="76" spans="9:10" x14ac:dyDescent="0.35">
      <c r="I76" s="28"/>
      <c r="J76" s="28"/>
    </row>
    <row r="77" spans="9:10" x14ac:dyDescent="0.35">
      <c r="I77" s="28"/>
      <c r="J77" s="28"/>
    </row>
    <row r="78" spans="9:10" x14ac:dyDescent="0.35">
      <c r="I78" s="28"/>
      <c r="J78" s="28"/>
    </row>
    <row r="79" spans="9:10" x14ac:dyDescent="0.35">
      <c r="I79" s="28"/>
      <c r="J79" s="28"/>
    </row>
    <row r="80" spans="9:10" x14ac:dyDescent="0.35">
      <c r="I80" s="28"/>
      <c r="J80" s="28"/>
    </row>
    <row r="81" spans="9:10" x14ac:dyDescent="0.35">
      <c r="I81" s="28"/>
      <c r="J81" s="28"/>
    </row>
    <row r="82" spans="9:10" x14ac:dyDescent="0.35">
      <c r="I82" s="28"/>
      <c r="J82" s="28"/>
    </row>
    <row r="83" spans="9:10" x14ac:dyDescent="0.35">
      <c r="I83" s="28"/>
      <c r="J83" s="28"/>
    </row>
    <row r="84" spans="9:10" x14ac:dyDescent="0.35">
      <c r="I84" s="28"/>
      <c r="J84" s="28"/>
    </row>
    <row r="85" spans="9:10" x14ac:dyDescent="0.35">
      <c r="I85" s="28"/>
      <c r="J85" s="28"/>
    </row>
    <row r="86" spans="9:10" x14ac:dyDescent="0.35">
      <c r="I86" s="28"/>
      <c r="J86" s="28"/>
    </row>
    <row r="87" spans="9:10" x14ac:dyDescent="0.35">
      <c r="I87" s="28"/>
      <c r="J87" s="28"/>
    </row>
    <row r="88" spans="9:10" x14ac:dyDescent="0.35">
      <c r="I88" s="28"/>
      <c r="J88" s="28"/>
    </row>
    <row r="89" spans="9:10" x14ac:dyDescent="0.35">
      <c r="I89" s="28"/>
      <c r="J89" s="28"/>
    </row>
    <row r="90" spans="9:10" x14ac:dyDescent="0.35">
      <c r="I90" s="28"/>
      <c r="J90" s="28"/>
    </row>
    <row r="91" spans="9:10" x14ac:dyDescent="0.35">
      <c r="I91" s="28"/>
      <c r="J91" s="28"/>
    </row>
    <row r="92" spans="9:10" x14ac:dyDescent="0.35">
      <c r="I92" s="28"/>
      <c r="J92" s="28"/>
    </row>
    <row r="93" spans="9:10" x14ac:dyDescent="0.35">
      <c r="I93" s="28"/>
      <c r="J93" s="28"/>
    </row>
    <row r="94" spans="9:10" x14ac:dyDescent="0.35">
      <c r="I94" s="28"/>
      <c r="J94" s="28"/>
    </row>
    <row r="95" spans="9:10" x14ac:dyDescent="0.35">
      <c r="I95" s="28"/>
      <c r="J95" s="28"/>
    </row>
    <row r="96" spans="9:10" x14ac:dyDescent="0.35">
      <c r="I96" s="28"/>
      <c r="J96" s="28"/>
    </row>
    <row r="97" spans="9:10" x14ac:dyDescent="0.35">
      <c r="I97" s="28"/>
      <c r="J97" s="28"/>
    </row>
    <row r="98" spans="9:10" x14ac:dyDescent="0.35">
      <c r="I98" s="28"/>
      <c r="J98" s="28"/>
    </row>
    <row r="99" spans="9:10" x14ac:dyDescent="0.35">
      <c r="I99" s="28"/>
      <c r="J99" s="28"/>
    </row>
    <row r="100" spans="9:10" x14ac:dyDescent="0.35">
      <c r="I100" s="28"/>
      <c r="J100" s="28"/>
    </row>
    <row r="101" spans="9:10" x14ac:dyDescent="0.35">
      <c r="I101" s="28"/>
      <c r="J101" s="28"/>
    </row>
    <row r="102" spans="9:10" x14ac:dyDescent="0.35">
      <c r="I102" s="28"/>
      <c r="J102" s="28"/>
    </row>
    <row r="103" spans="9:10" x14ac:dyDescent="0.35">
      <c r="I103" s="28"/>
      <c r="J103" s="28"/>
    </row>
    <row r="104" spans="9:10" x14ac:dyDescent="0.35">
      <c r="I104" s="28"/>
      <c r="J104" s="28"/>
    </row>
    <row r="105" spans="9:10" x14ac:dyDescent="0.35">
      <c r="I105" s="28"/>
      <c r="J105" s="28"/>
    </row>
    <row r="106" spans="9:10" x14ac:dyDescent="0.35">
      <c r="I106" s="28"/>
      <c r="J106" s="28"/>
    </row>
    <row r="107" spans="9:10" x14ac:dyDescent="0.35">
      <c r="I107" s="28"/>
      <c r="J107" s="28"/>
    </row>
    <row r="108" spans="9:10" x14ac:dyDescent="0.35">
      <c r="I108" s="28"/>
      <c r="J108" s="28"/>
    </row>
    <row r="109" spans="9:10" x14ac:dyDescent="0.35">
      <c r="I109" s="28"/>
      <c r="J109" s="28"/>
    </row>
    <row r="110" spans="9:10" x14ac:dyDescent="0.35">
      <c r="I110" s="28"/>
      <c r="J110" s="28"/>
    </row>
    <row r="111" spans="9:10" x14ac:dyDescent="0.35">
      <c r="I111" s="28"/>
      <c r="J111" s="28"/>
    </row>
    <row r="112" spans="9:10" x14ac:dyDescent="0.35">
      <c r="I112" s="28"/>
      <c r="J112" s="28"/>
    </row>
  </sheetData>
  <mergeCells count="28">
    <mergeCell ref="L20:N20"/>
    <mergeCell ref="S20:U20"/>
    <mergeCell ref="X20:Z20"/>
    <mergeCell ref="N15:N18"/>
    <mergeCell ref="S15:S18"/>
    <mergeCell ref="T15:T18"/>
    <mergeCell ref="U15:U18"/>
    <mergeCell ref="Y15:Y18"/>
    <mergeCell ref="Z15:Z18"/>
    <mergeCell ref="X15:X18"/>
    <mergeCell ref="L6:N6"/>
    <mergeCell ref="S6:U6"/>
    <mergeCell ref="X6:Z6"/>
    <mergeCell ref="A7:A18"/>
    <mergeCell ref="L8:L14"/>
    <mergeCell ref="M8:M14"/>
    <mergeCell ref="N8:N14"/>
    <mergeCell ref="S8:S14"/>
    <mergeCell ref="T8:T14"/>
    <mergeCell ref="U8:U14"/>
    <mergeCell ref="L19:M19"/>
    <mergeCell ref="S19:T19"/>
    <mergeCell ref="X19:Y19"/>
    <mergeCell ref="X8:X14"/>
    <mergeCell ref="Y8:Y14"/>
    <mergeCell ref="Z8:Z14"/>
    <mergeCell ref="L15:L18"/>
    <mergeCell ref="M15:M18"/>
  </mergeCell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Prämiensystem</vt:lpstr>
    </vt:vector>
  </TitlesOfParts>
  <Company>Bernard Krone Holding SE 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Kreke, Jonas</dc:creator>
  <cp:lastModifiedBy>Stefan Meisenzahl</cp:lastModifiedBy>
  <dcterms:created xsi:type="dcterms:W3CDTF">2024-05-06T09:37:58Z</dcterms:created>
  <dcterms:modified xsi:type="dcterms:W3CDTF">2025-02-13T10:54:49Z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.	;	;	{	}	[@[{0}]]	1031	1031</vt:lpwstr>
  </property>
</Properties>
</file>