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msrconsultinggroup-my.sharepoint.com/personal/andre_denneburg_msr_de/Documents/Desktop/Liqui-Tools/"/>
    </mc:Choice>
  </mc:AlternateContent>
  <xr:revisionPtr revIDLastSave="85" documentId="8_{F1268E8E-0158-45D4-A5FF-00B414FBC18B}" xr6:coauthVersionLast="47" xr6:coauthVersionMax="47" xr10:uidLastSave="{02C90003-07B1-4A9F-8BBF-296BDAD9AAE6}"/>
  <bookViews>
    <workbookView xWindow="-108" yWindow="-108" windowWidth="23256" windowHeight="13896" xr2:uid="{A5287599-69D7-4E8B-BC48-094629C03820}"/>
  </bookViews>
  <sheets>
    <sheet name="Grunddaten" sheetId="2" r:id="rId1"/>
    <sheet name="Standort 1" sheetId="1" r:id="rId2"/>
    <sheet name="Standort 2" sheetId="6" r:id="rId3"/>
    <sheet name="Standort 3" sheetId="7" r:id="rId4"/>
    <sheet name="Standort 4" sheetId="8" r:id="rId5"/>
    <sheet name="Holding" sheetId="9" r:id="rId6"/>
  </sheets>
  <definedNames>
    <definedName name="_xlnm.Print_Area" localSheetId="0">Grunddaten!$A$1:$O$77</definedName>
    <definedName name="_xlnm.Print_Area" localSheetId="5">Holding!$E$8:$L$313</definedName>
    <definedName name="_xlnm.Print_Area" localSheetId="1">'Standort 1'!$A$1:$L$245</definedName>
    <definedName name="_xlnm.Print_Area" localSheetId="2">'Standort 2'!$E$8:$L$178</definedName>
    <definedName name="_xlnm.Print_Area" localSheetId="3">'Standort 3'!$E$8:$L$245</definedName>
    <definedName name="_xlnm.Print_Area" localSheetId="4">'Standort 4'!$E$8:$L$279</definedName>
    <definedName name="_xlnm.Print_Titles" localSheetId="5">Holding!$A:$D,Holding!$1:$7</definedName>
    <definedName name="_xlnm.Print_Titles" localSheetId="1">'Standort 1'!$A:$D,'Standort 1'!$1:$7</definedName>
    <definedName name="_xlnm.Print_Titles" localSheetId="2">'Standort 2'!$A:$D,'Standort 2'!$1:$7</definedName>
    <definedName name="_xlnm.Print_Titles" localSheetId="3">'Standort 3'!$A:$D,'Standort 3'!$1:$7</definedName>
    <definedName name="_xlnm.Print_Titles" localSheetId="4">'Standort 4'!$A:$D,'Standort 4'!$1:$7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5" i="1"/>
  <c r="F5" i="1"/>
  <c r="G5" i="1"/>
  <c r="H5" i="1"/>
  <c r="I5" i="1"/>
  <c r="J5" i="1"/>
  <c r="K5" i="1"/>
  <c r="L5" i="1"/>
  <c r="F6" i="1"/>
  <c r="G6" i="1" s="1"/>
  <c r="H6" i="1" s="1"/>
  <c r="I6" i="1" s="1"/>
  <c r="J6" i="1" s="1"/>
  <c r="K6" i="1" s="1"/>
  <c r="L6" i="1" s="1"/>
  <c r="E22" i="1"/>
  <c r="E40" i="1" s="1"/>
  <c r="E41" i="1" s="1"/>
  <c r="F12" i="1"/>
  <c r="F22" i="1" s="1"/>
  <c r="G12" i="1"/>
  <c r="G22" i="1" s="1"/>
  <c r="H12" i="1"/>
  <c r="H22" i="1" s="1"/>
  <c r="H40" i="1" s="1"/>
  <c r="I12" i="1"/>
  <c r="I22" i="1" s="1"/>
  <c r="J22" i="1"/>
  <c r="K22" i="1"/>
  <c r="L22" i="1"/>
  <c r="E25" i="1"/>
  <c r="E39" i="1" s="1"/>
  <c r="F39" i="1"/>
  <c r="G39" i="1"/>
  <c r="H39" i="1"/>
  <c r="I39" i="1"/>
  <c r="J39" i="1"/>
  <c r="J40" i="1" s="1"/>
  <c r="K39" i="1"/>
  <c r="L39" i="1"/>
  <c r="E56" i="1"/>
  <c r="F56" i="1"/>
  <c r="G56" i="1"/>
  <c r="H56" i="1"/>
  <c r="I56" i="1"/>
  <c r="J56" i="1"/>
  <c r="K56" i="1"/>
  <c r="L56" i="1"/>
  <c r="E73" i="1"/>
  <c r="F73" i="1"/>
  <c r="G73" i="1"/>
  <c r="H73" i="1"/>
  <c r="I73" i="1"/>
  <c r="J73" i="1"/>
  <c r="K73" i="1"/>
  <c r="L73" i="1"/>
  <c r="E91" i="1"/>
  <c r="F91" i="1"/>
  <c r="G91" i="1"/>
  <c r="H91" i="1"/>
  <c r="I91" i="1"/>
  <c r="J91" i="1"/>
  <c r="K91" i="1"/>
  <c r="L91" i="1"/>
  <c r="E93" i="1"/>
  <c r="E107" i="1" s="1"/>
  <c r="E108" i="1" s="1"/>
  <c r="E109" i="1" s="1"/>
  <c r="F93" i="1"/>
  <c r="I99" i="1"/>
  <c r="F107" i="1"/>
  <c r="G107" i="1"/>
  <c r="H107" i="1"/>
  <c r="I107" i="1"/>
  <c r="J107" i="1"/>
  <c r="K107" i="1"/>
  <c r="L107" i="1"/>
  <c r="L108" i="1" s="1"/>
  <c r="K108" i="1"/>
  <c r="F115" i="1"/>
  <c r="F125" i="1" s="1"/>
  <c r="F142" i="1" s="1"/>
  <c r="E125" i="1"/>
  <c r="G125" i="1"/>
  <c r="H125" i="1"/>
  <c r="I125" i="1"/>
  <c r="J125" i="1"/>
  <c r="K125" i="1"/>
  <c r="L125" i="1"/>
  <c r="E141" i="1"/>
  <c r="F141" i="1"/>
  <c r="G141" i="1"/>
  <c r="H141" i="1"/>
  <c r="I141" i="1"/>
  <c r="J141" i="1"/>
  <c r="K141" i="1"/>
  <c r="L141" i="1"/>
  <c r="E149" i="1"/>
  <c r="F149" i="1"/>
  <c r="F159" i="1" s="1"/>
  <c r="G149" i="1"/>
  <c r="G159" i="1" s="1"/>
  <c r="E150" i="1"/>
  <c r="E159" i="1"/>
  <c r="H159" i="1"/>
  <c r="H176" i="1" s="1"/>
  <c r="I159" i="1"/>
  <c r="J159" i="1"/>
  <c r="K159" i="1"/>
  <c r="L159" i="1"/>
  <c r="F162" i="1"/>
  <c r="F175" i="1" s="1"/>
  <c r="G162" i="1"/>
  <c r="G175" i="1" s="1"/>
  <c r="H162" i="1"/>
  <c r="H175" i="1" s="1"/>
  <c r="I162" i="1"/>
  <c r="I175" i="1" s="1"/>
  <c r="E175" i="1"/>
  <c r="J175" i="1"/>
  <c r="K175" i="1"/>
  <c r="L175" i="1"/>
  <c r="J176" i="1"/>
  <c r="K176" i="1"/>
  <c r="E193" i="1"/>
  <c r="E210" i="1" s="1"/>
  <c r="E211" i="1" s="1"/>
  <c r="F193" i="1"/>
  <c r="G193" i="1"/>
  <c r="H193" i="1"/>
  <c r="I193" i="1"/>
  <c r="J193" i="1"/>
  <c r="K193" i="1"/>
  <c r="L193" i="1"/>
  <c r="E209" i="1"/>
  <c r="F209" i="1"/>
  <c r="G209" i="1"/>
  <c r="H209" i="1"/>
  <c r="I209" i="1"/>
  <c r="J209" i="1"/>
  <c r="J210" i="1" s="1"/>
  <c r="K209" i="1"/>
  <c r="K210" i="1" s="1"/>
  <c r="L209" i="1"/>
  <c r="E227" i="1"/>
  <c r="F227" i="1"/>
  <c r="G227" i="1"/>
  <c r="H227" i="1"/>
  <c r="I227" i="1"/>
  <c r="J227" i="1"/>
  <c r="K227" i="1"/>
  <c r="L227" i="1"/>
  <c r="E243" i="1"/>
  <c r="F243" i="1"/>
  <c r="G243" i="1"/>
  <c r="H243" i="1"/>
  <c r="H244" i="1" s="1"/>
  <c r="I243" i="1"/>
  <c r="J243" i="1"/>
  <c r="K243" i="1"/>
  <c r="L243" i="1"/>
  <c r="E261" i="1"/>
  <c r="F261" i="1"/>
  <c r="G261" i="1"/>
  <c r="H261" i="1"/>
  <c r="I261" i="1"/>
  <c r="I278" i="1" s="1"/>
  <c r="J261" i="1"/>
  <c r="J278" i="1" s="1"/>
  <c r="K261" i="1"/>
  <c r="L261" i="1"/>
  <c r="L278" i="1" s="1"/>
  <c r="E277" i="1"/>
  <c r="F277" i="1"/>
  <c r="F278" i="1" s="1"/>
  <c r="G277" i="1"/>
  <c r="H277" i="1"/>
  <c r="I277" i="1"/>
  <c r="J277" i="1"/>
  <c r="K277" i="1"/>
  <c r="L277" i="1"/>
  <c r="E281" i="1"/>
  <c r="E282" i="1" s="1"/>
  <c r="F281" i="1"/>
  <c r="F282" i="1" s="1"/>
  <c r="G281" i="1"/>
  <c r="G282" i="1" s="1"/>
  <c r="H281" i="1"/>
  <c r="H282" i="1" s="1"/>
  <c r="I281" i="1"/>
  <c r="I282" i="1" s="1"/>
  <c r="J281" i="1"/>
  <c r="J282" i="1" s="1"/>
  <c r="K281" i="1"/>
  <c r="K282" i="1" s="1"/>
  <c r="L281" i="1"/>
  <c r="L282" i="1" s="1"/>
  <c r="E5" i="8"/>
  <c r="F5" i="8"/>
  <c r="G5" i="8"/>
  <c r="H5" i="8"/>
  <c r="I5" i="8"/>
  <c r="J5" i="8"/>
  <c r="K5" i="8"/>
  <c r="L5" i="8"/>
  <c r="F6" i="8"/>
  <c r="G6" i="8" s="1"/>
  <c r="H6" i="8" s="1"/>
  <c r="I6" i="8" s="1"/>
  <c r="J6" i="8" s="1"/>
  <c r="K6" i="8" s="1"/>
  <c r="L6" i="8" s="1"/>
  <c r="A8" i="8"/>
  <c r="F8" i="8"/>
  <c r="E22" i="8"/>
  <c r="F22" i="8"/>
  <c r="G22" i="8"/>
  <c r="H22" i="8"/>
  <c r="I22" i="8"/>
  <c r="J22" i="8"/>
  <c r="K22" i="8"/>
  <c r="L22" i="8"/>
  <c r="E39" i="8"/>
  <c r="F39" i="8"/>
  <c r="G39" i="8"/>
  <c r="H39" i="8"/>
  <c r="I39" i="8"/>
  <c r="J39" i="8"/>
  <c r="K39" i="8"/>
  <c r="L39" i="8"/>
  <c r="H40" i="8"/>
  <c r="A43" i="8"/>
  <c r="F43" i="8"/>
  <c r="E56" i="8"/>
  <c r="E74" i="8" s="1"/>
  <c r="E75" i="8" s="1"/>
  <c r="F56" i="8"/>
  <c r="G56" i="8"/>
  <c r="H56" i="8"/>
  <c r="I56" i="8"/>
  <c r="J56" i="8"/>
  <c r="K56" i="8"/>
  <c r="L56" i="8"/>
  <c r="E73" i="8"/>
  <c r="F73" i="8"/>
  <c r="G73" i="8"/>
  <c r="H73" i="8"/>
  <c r="H74" i="8" s="1"/>
  <c r="I73" i="8"/>
  <c r="J73" i="8"/>
  <c r="K73" i="8"/>
  <c r="L73" i="8"/>
  <c r="A77" i="8"/>
  <c r="F77" i="8"/>
  <c r="E91" i="8"/>
  <c r="F91" i="8"/>
  <c r="F108" i="8" s="1"/>
  <c r="G91" i="8"/>
  <c r="G108" i="8" s="1"/>
  <c r="H91" i="8"/>
  <c r="I91" i="8"/>
  <c r="I108" i="8" s="1"/>
  <c r="J91" i="8"/>
  <c r="K91" i="8"/>
  <c r="L91" i="8"/>
  <c r="E107" i="8"/>
  <c r="F107" i="8"/>
  <c r="G107" i="8"/>
  <c r="H107" i="8"/>
  <c r="I107" i="8"/>
  <c r="J107" i="8"/>
  <c r="K107" i="8"/>
  <c r="L107" i="8"/>
  <c r="E108" i="8"/>
  <c r="E109" i="8" s="1"/>
  <c r="H108" i="8"/>
  <c r="A111" i="8"/>
  <c r="F111" i="8"/>
  <c r="E125" i="8"/>
  <c r="F125" i="8"/>
  <c r="G125" i="8"/>
  <c r="H125" i="8"/>
  <c r="I125" i="8"/>
  <c r="J125" i="8"/>
  <c r="K125" i="8"/>
  <c r="L125" i="8"/>
  <c r="E141" i="8"/>
  <c r="F141" i="8"/>
  <c r="G141" i="8"/>
  <c r="G142" i="8" s="1"/>
  <c r="H141" i="8"/>
  <c r="H142" i="8" s="1"/>
  <c r="I141" i="8"/>
  <c r="I142" i="8" s="1"/>
  <c r="J141" i="8"/>
  <c r="J142" i="8" s="1"/>
  <c r="K141" i="8"/>
  <c r="L141" i="8"/>
  <c r="A145" i="8"/>
  <c r="F145" i="8"/>
  <c r="E159" i="8"/>
  <c r="F159" i="8"/>
  <c r="G159" i="8"/>
  <c r="H159" i="8"/>
  <c r="H176" i="8" s="1"/>
  <c r="I159" i="8"/>
  <c r="I176" i="8" s="1"/>
  <c r="J159" i="8"/>
  <c r="J176" i="8" s="1"/>
  <c r="K159" i="8"/>
  <c r="K176" i="8" s="1"/>
  <c r="L159" i="8"/>
  <c r="L176" i="8" s="1"/>
  <c r="E175" i="8"/>
  <c r="E176" i="8" s="1"/>
  <c r="E177" i="8" s="1"/>
  <c r="F175" i="8"/>
  <c r="G175" i="8"/>
  <c r="H175" i="8"/>
  <c r="I175" i="8"/>
  <c r="J175" i="8"/>
  <c r="K175" i="8"/>
  <c r="L175" i="8"/>
  <c r="A179" i="8"/>
  <c r="F179" i="8"/>
  <c r="E193" i="8"/>
  <c r="F193" i="8"/>
  <c r="G193" i="8"/>
  <c r="H193" i="8"/>
  <c r="I193" i="8"/>
  <c r="J193" i="8"/>
  <c r="K193" i="8"/>
  <c r="L193" i="8"/>
  <c r="E209" i="8"/>
  <c r="F209" i="8"/>
  <c r="G209" i="8"/>
  <c r="H209" i="8"/>
  <c r="I209" i="8"/>
  <c r="J209" i="8"/>
  <c r="K209" i="8"/>
  <c r="L209" i="8"/>
  <c r="A213" i="8"/>
  <c r="F213" i="8"/>
  <c r="E227" i="8"/>
  <c r="F227" i="8"/>
  <c r="G227" i="8"/>
  <c r="H227" i="8"/>
  <c r="I227" i="8"/>
  <c r="J227" i="8"/>
  <c r="K227" i="8"/>
  <c r="L227" i="8"/>
  <c r="E243" i="8"/>
  <c r="F243" i="8"/>
  <c r="G243" i="8"/>
  <c r="G244" i="8" s="1"/>
  <c r="H243" i="8"/>
  <c r="I243" i="8"/>
  <c r="J243" i="8"/>
  <c r="J244" i="8" s="1"/>
  <c r="K243" i="8"/>
  <c r="L243" i="8"/>
  <c r="A247" i="8"/>
  <c r="F247" i="8"/>
  <c r="E261" i="8"/>
  <c r="F261" i="8"/>
  <c r="G261" i="8"/>
  <c r="H261" i="8"/>
  <c r="H278" i="8" s="1"/>
  <c r="I261" i="8"/>
  <c r="J261" i="8"/>
  <c r="J278" i="8" s="1"/>
  <c r="K261" i="8"/>
  <c r="K278" i="8" s="1"/>
  <c r="L261" i="8"/>
  <c r="L278" i="8" s="1"/>
  <c r="E277" i="8"/>
  <c r="F277" i="8"/>
  <c r="G277" i="8"/>
  <c r="H277" i="8"/>
  <c r="I277" i="8"/>
  <c r="J277" i="8"/>
  <c r="K277" i="8"/>
  <c r="L277" i="8"/>
  <c r="E281" i="8"/>
  <c r="E282" i="8" s="1"/>
  <c r="F281" i="8"/>
  <c r="F282" i="8" s="1"/>
  <c r="G281" i="8"/>
  <c r="G282" i="8" s="1"/>
  <c r="H281" i="8"/>
  <c r="H282" i="8" s="1"/>
  <c r="I281" i="8"/>
  <c r="I282" i="8" s="1"/>
  <c r="J281" i="8"/>
  <c r="J282" i="8" s="1"/>
  <c r="K281" i="8"/>
  <c r="K282" i="8" s="1"/>
  <c r="L281" i="8"/>
  <c r="L282" i="8" s="1"/>
  <c r="E5" i="7"/>
  <c r="F5" i="7"/>
  <c r="G5" i="7"/>
  <c r="H5" i="7"/>
  <c r="I5" i="7"/>
  <c r="J5" i="7"/>
  <c r="K5" i="7"/>
  <c r="L5" i="7"/>
  <c r="F6" i="7"/>
  <c r="G6" i="7" s="1"/>
  <c r="H6" i="7" s="1"/>
  <c r="I6" i="7" s="1"/>
  <c r="J6" i="7" s="1"/>
  <c r="K6" i="7" s="1"/>
  <c r="L6" i="7" s="1"/>
  <c r="A8" i="7"/>
  <c r="F8" i="7"/>
  <c r="E22" i="7"/>
  <c r="F22" i="7"/>
  <c r="G22" i="7"/>
  <c r="H22" i="7"/>
  <c r="H40" i="7" s="1"/>
  <c r="I22" i="7"/>
  <c r="I40" i="7" s="1"/>
  <c r="J22" i="7"/>
  <c r="J40" i="7" s="1"/>
  <c r="K22" i="7"/>
  <c r="L22" i="7"/>
  <c r="E39" i="7"/>
  <c r="F39" i="7"/>
  <c r="G39" i="7"/>
  <c r="H39" i="7"/>
  <c r="I39" i="7"/>
  <c r="J39" i="7"/>
  <c r="K39" i="7"/>
  <c r="L39" i="7"/>
  <c r="A43" i="7"/>
  <c r="F43" i="7"/>
  <c r="E56" i="7"/>
  <c r="F56" i="7"/>
  <c r="G56" i="7"/>
  <c r="H56" i="7"/>
  <c r="I56" i="7"/>
  <c r="J56" i="7"/>
  <c r="K56" i="7"/>
  <c r="L56" i="7"/>
  <c r="L74" i="7" s="1"/>
  <c r="E73" i="7"/>
  <c r="F73" i="7"/>
  <c r="G73" i="7"/>
  <c r="H73" i="7"/>
  <c r="I73" i="7"/>
  <c r="J73" i="7"/>
  <c r="K73" i="7"/>
  <c r="K74" i="7" s="1"/>
  <c r="L73" i="7"/>
  <c r="A77" i="7"/>
  <c r="E91" i="7"/>
  <c r="F91" i="7"/>
  <c r="G91" i="7"/>
  <c r="H91" i="7"/>
  <c r="I91" i="7"/>
  <c r="I108" i="7" s="1"/>
  <c r="J91" i="7"/>
  <c r="J108" i="7" s="1"/>
  <c r="K91" i="7"/>
  <c r="K108" i="7" s="1"/>
  <c r="L91" i="7"/>
  <c r="L108" i="7" s="1"/>
  <c r="E107" i="7"/>
  <c r="F107" i="7"/>
  <c r="F108" i="7" s="1"/>
  <c r="G107" i="7"/>
  <c r="G108" i="7" s="1"/>
  <c r="H107" i="7"/>
  <c r="H108" i="7" s="1"/>
  <c r="I107" i="7"/>
  <c r="J107" i="7"/>
  <c r="K107" i="7"/>
  <c r="L107" i="7"/>
  <c r="A111" i="7"/>
  <c r="E125" i="7"/>
  <c r="E142" i="7" s="1"/>
  <c r="E143" i="7" s="1"/>
  <c r="F125" i="7"/>
  <c r="F142" i="7" s="1"/>
  <c r="G125" i="7"/>
  <c r="G142" i="7" s="1"/>
  <c r="H125" i="7"/>
  <c r="I125" i="7"/>
  <c r="J125" i="7"/>
  <c r="K125" i="7"/>
  <c r="L125" i="7"/>
  <c r="E141" i="7"/>
  <c r="F141" i="7"/>
  <c r="G141" i="7"/>
  <c r="H141" i="7"/>
  <c r="I141" i="7"/>
  <c r="J141" i="7"/>
  <c r="K141" i="7"/>
  <c r="L141" i="7"/>
  <c r="A145" i="7"/>
  <c r="F145" i="7"/>
  <c r="E159" i="7"/>
  <c r="F159" i="7"/>
  <c r="G159" i="7"/>
  <c r="H159" i="7"/>
  <c r="I159" i="7"/>
  <c r="J159" i="7"/>
  <c r="K159" i="7"/>
  <c r="L159" i="7"/>
  <c r="E175" i="7"/>
  <c r="F175" i="7"/>
  <c r="G175" i="7"/>
  <c r="H175" i="7"/>
  <c r="I175" i="7"/>
  <c r="I176" i="7" s="1"/>
  <c r="J175" i="7"/>
  <c r="K175" i="7"/>
  <c r="L175" i="7"/>
  <c r="A179" i="7"/>
  <c r="F179" i="7"/>
  <c r="E193" i="7"/>
  <c r="F193" i="7"/>
  <c r="G193" i="7"/>
  <c r="H193" i="7"/>
  <c r="I193" i="7"/>
  <c r="J193" i="7"/>
  <c r="K193" i="7"/>
  <c r="L193" i="7"/>
  <c r="E209" i="7"/>
  <c r="F209" i="7"/>
  <c r="G209" i="7"/>
  <c r="H209" i="7"/>
  <c r="I209" i="7"/>
  <c r="J209" i="7"/>
  <c r="K209" i="7"/>
  <c r="L209" i="7"/>
  <c r="A213" i="7"/>
  <c r="F213" i="7"/>
  <c r="E227" i="7"/>
  <c r="F227" i="7"/>
  <c r="G227" i="7"/>
  <c r="H227" i="7"/>
  <c r="I227" i="7"/>
  <c r="J227" i="7"/>
  <c r="K227" i="7"/>
  <c r="L227" i="7"/>
  <c r="E243" i="7"/>
  <c r="F243" i="7"/>
  <c r="G243" i="7"/>
  <c r="H243" i="7"/>
  <c r="I243" i="7"/>
  <c r="J243" i="7"/>
  <c r="K243" i="7"/>
  <c r="L243" i="7"/>
  <c r="A247" i="7"/>
  <c r="F247" i="7"/>
  <c r="E261" i="7"/>
  <c r="F261" i="7"/>
  <c r="G261" i="7"/>
  <c r="H261" i="7"/>
  <c r="I261" i="7"/>
  <c r="J261" i="7"/>
  <c r="K261" i="7"/>
  <c r="L261" i="7"/>
  <c r="E277" i="7"/>
  <c r="F277" i="7"/>
  <c r="G277" i="7"/>
  <c r="H277" i="7"/>
  <c r="I277" i="7"/>
  <c r="J277" i="7"/>
  <c r="K277" i="7"/>
  <c r="L277" i="7"/>
  <c r="E281" i="7"/>
  <c r="E282" i="7" s="1"/>
  <c r="F281" i="7"/>
  <c r="F282" i="7" s="1"/>
  <c r="G281" i="7"/>
  <c r="G282" i="7" s="1"/>
  <c r="H281" i="7"/>
  <c r="H282" i="7" s="1"/>
  <c r="I281" i="7"/>
  <c r="I282" i="7" s="1"/>
  <c r="J281" i="7"/>
  <c r="J282" i="7" s="1"/>
  <c r="K281" i="7"/>
  <c r="K282" i="7" s="1"/>
  <c r="L281" i="7"/>
  <c r="L282" i="7" s="1"/>
  <c r="E5" i="6"/>
  <c r="F5" i="6"/>
  <c r="G5" i="6"/>
  <c r="H5" i="6"/>
  <c r="I5" i="6"/>
  <c r="J5" i="6"/>
  <c r="K5" i="6"/>
  <c r="L5" i="6"/>
  <c r="F6" i="6"/>
  <c r="G6" i="6" s="1"/>
  <c r="H6" i="6" s="1"/>
  <c r="I6" i="6" s="1"/>
  <c r="J6" i="6" s="1"/>
  <c r="K6" i="6" s="1"/>
  <c r="L6" i="6" s="1"/>
  <c r="A8" i="6"/>
  <c r="F8" i="6"/>
  <c r="E21" i="6"/>
  <c r="F21" i="6"/>
  <c r="G21" i="6"/>
  <c r="H21" i="6"/>
  <c r="I21" i="6"/>
  <c r="J21" i="6"/>
  <c r="K21" i="6"/>
  <c r="L21" i="6"/>
  <c r="L40" i="6" s="1"/>
  <c r="F30" i="6"/>
  <c r="F39" i="6" s="1"/>
  <c r="E39" i="6"/>
  <c r="G39" i="6"/>
  <c r="G40" i="6" s="1"/>
  <c r="H39" i="6"/>
  <c r="I39" i="6"/>
  <c r="J39" i="6"/>
  <c r="K39" i="6"/>
  <c r="L39" i="6"/>
  <c r="A43" i="6"/>
  <c r="F43" i="6"/>
  <c r="E56" i="6"/>
  <c r="F56" i="6"/>
  <c r="G56" i="6"/>
  <c r="H56" i="6"/>
  <c r="I56" i="6"/>
  <c r="I74" i="6" s="1"/>
  <c r="J56" i="6"/>
  <c r="J74" i="6" s="1"/>
  <c r="K56" i="6"/>
  <c r="K74" i="6" s="1"/>
  <c r="L56" i="6"/>
  <c r="F64" i="6"/>
  <c r="F73" i="6" s="1"/>
  <c r="E73" i="6"/>
  <c r="G73" i="6"/>
  <c r="H73" i="6"/>
  <c r="I73" i="6"/>
  <c r="J73" i="6"/>
  <c r="K73" i="6"/>
  <c r="L73" i="6"/>
  <c r="A77" i="6"/>
  <c r="F77" i="6"/>
  <c r="E91" i="6"/>
  <c r="F91" i="6"/>
  <c r="G91" i="6"/>
  <c r="H91" i="6"/>
  <c r="I91" i="6"/>
  <c r="J91" i="6"/>
  <c r="K91" i="6"/>
  <c r="L91" i="6"/>
  <c r="E107" i="6"/>
  <c r="F107" i="6"/>
  <c r="G107" i="6"/>
  <c r="H107" i="6"/>
  <c r="I107" i="6"/>
  <c r="J107" i="6"/>
  <c r="K107" i="6"/>
  <c r="L107" i="6"/>
  <c r="A111" i="6"/>
  <c r="F111" i="6"/>
  <c r="E125" i="6"/>
  <c r="F125" i="6"/>
  <c r="G125" i="6"/>
  <c r="H125" i="6"/>
  <c r="I125" i="6"/>
  <c r="J125" i="6"/>
  <c r="K125" i="6"/>
  <c r="L125" i="6"/>
  <c r="E141" i="6"/>
  <c r="F141" i="6"/>
  <c r="G141" i="6"/>
  <c r="H141" i="6"/>
  <c r="I141" i="6"/>
  <c r="J141" i="6"/>
  <c r="K141" i="6"/>
  <c r="L141" i="6"/>
  <c r="A145" i="6"/>
  <c r="F145" i="6"/>
  <c r="E159" i="6"/>
  <c r="F159" i="6"/>
  <c r="G159" i="6"/>
  <c r="G176" i="6" s="1"/>
  <c r="H159" i="6"/>
  <c r="I159" i="6"/>
  <c r="J159" i="6"/>
  <c r="K159" i="6"/>
  <c r="L159" i="6"/>
  <c r="L176" i="6" s="1"/>
  <c r="E166" i="6"/>
  <c r="E175" i="6"/>
  <c r="F175" i="6"/>
  <c r="G175" i="6"/>
  <c r="H175" i="6"/>
  <c r="I175" i="6"/>
  <c r="J175" i="6"/>
  <c r="K175" i="6"/>
  <c r="L175" i="6"/>
  <c r="A179" i="6"/>
  <c r="F179" i="6"/>
  <c r="E193" i="6"/>
  <c r="F193" i="6"/>
  <c r="F210" i="6" s="1"/>
  <c r="G193" i="6"/>
  <c r="G210" i="6" s="1"/>
  <c r="H193" i="6"/>
  <c r="H210" i="6" s="1"/>
  <c r="I193" i="6"/>
  <c r="J193" i="6"/>
  <c r="K193" i="6"/>
  <c r="L193" i="6"/>
  <c r="E209" i="6"/>
  <c r="F209" i="6"/>
  <c r="G209" i="6"/>
  <c r="H209" i="6"/>
  <c r="I209" i="6"/>
  <c r="J209" i="6"/>
  <c r="K209" i="6"/>
  <c r="L209" i="6"/>
  <c r="A213" i="6"/>
  <c r="F213" i="6"/>
  <c r="E227" i="6"/>
  <c r="E244" i="6" s="1"/>
  <c r="E245" i="6" s="1"/>
  <c r="F227" i="6"/>
  <c r="F244" i="6" s="1"/>
  <c r="G227" i="6"/>
  <c r="H227" i="6"/>
  <c r="I227" i="6"/>
  <c r="J227" i="6"/>
  <c r="K227" i="6"/>
  <c r="L227" i="6"/>
  <c r="E243" i="6"/>
  <c r="F243" i="6"/>
  <c r="G243" i="6"/>
  <c r="G244" i="6" s="1"/>
  <c r="H243" i="6"/>
  <c r="I243" i="6"/>
  <c r="J243" i="6"/>
  <c r="K243" i="6"/>
  <c r="L243" i="6"/>
  <c r="L244" i="6" s="1"/>
  <c r="A247" i="6"/>
  <c r="F247" i="6"/>
  <c r="E261" i="6"/>
  <c r="F261" i="6"/>
  <c r="G261" i="6"/>
  <c r="H261" i="6"/>
  <c r="I261" i="6"/>
  <c r="J261" i="6"/>
  <c r="K261" i="6"/>
  <c r="L261" i="6"/>
  <c r="E277" i="6"/>
  <c r="F277" i="6"/>
  <c r="G277" i="6"/>
  <c r="H277" i="6"/>
  <c r="I277" i="6"/>
  <c r="J277" i="6"/>
  <c r="K277" i="6"/>
  <c r="L277" i="6"/>
  <c r="E281" i="6"/>
  <c r="E282" i="6" s="1"/>
  <c r="F281" i="6"/>
  <c r="F282" i="6" s="1"/>
  <c r="G281" i="6"/>
  <c r="G282" i="6" s="1"/>
  <c r="H281" i="6"/>
  <c r="H282" i="6" s="1"/>
  <c r="I281" i="6"/>
  <c r="I282" i="6" s="1"/>
  <c r="J281" i="6"/>
  <c r="J282" i="6" s="1"/>
  <c r="K281" i="6"/>
  <c r="K282" i="6" s="1"/>
  <c r="L281" i="6"/>
  <c r="L282" i="6" s="1"/>
  <c r="F6" i="9"/>
  <c r="G6" i="9"/>
  <c r="H6" i="9" s="1"/>
  <c r="A8" i="9"/>
  <c r="F8" i="9"/>
  <c r="E22" i="9"/>
  <c r="F22" i="9"/>
  <c r="G22" i="9"/>
  <c r="H22" i="9"/>
  <c r="I22" i="9"/>
  <c r="J22" i="9"/>
  <c r="K22" i="9"/>
  <c r="L22" i="9"/>
  <c r="E39" i="9"/>
  <c r="F39" i="9"/>
  <c r="G39" i="9"/>
  <c r="G40" i="9" s="1"/>
  <c r="H39" i="9"/>
  <c r="H40" i="9" s="1"/>
  <c r="I39" i="9"/>
  <c r="J39" i="9"/>
  <c r="K39" i="9"/>
  <c r="K40" i="9" s="1"/>
  <c r="L39" i="9"/>
  <c r="A43" i="9"/>
  <c r="F43" i="9"/>
  <c r="E56" i="9"/>
  <c r="F56" i="9"/>
  <c r="G56" i="9"/>
  <c r="H56" i="9"/>
  <c r="I56" i="9"/>
  <c r="J56" i="9"/>
  <c r="K56" i="9"/>
  <c r="L56" i="9"/>
  <c r="L74" i="9" s="1"/>
  <c r="E73" i="9"/>
  <c r="F73" i="9"/>
  <c r="G73" i="9"/>
  <c r="G74" i="9" s="1"/>
  <c r="H73" i="9"/>
  <c r="I73" i="9"/>
  <c r="J73" i="9"/>
  <c r="K73" i="9"/>
  <c r="L73" i="9"/>
  <c r="J74" i="9"/>
  <c r="A77" i="9"/>
  <c r="F77" i="9"/>
  <c r="E91" i="9"/>
  <c r="E108" i="9" s="1"/>
  <c r="E109" i="9" s="1"/>
  <c r="F91" i="9"/>
  <c r="F108" i="9" s="1"/>
  <c r="G91" i="9"/>
  <c r="H91" i="9"/>
  <c r="I91" i="9"/>
  <c r="J91" i="9"/>
  <c r="K91" i="9"/>
  <c r="L91" i="9"/>
  <c r="E107" i="9"/>
  <c r="F107" i="9"/>
  <c r="G107" i="9"/>
  <c r="H107" i="9"/>
  <c r="I107" i="9"/>
  <c r="J107" i="9"/>
  <c r="J108" i="9" s="1"/>
  <c r="K107" i="9"/>
  <c r="L107" i="9"/>
  <c r="A111" i="9"/>
  <c r="F111" i="9"/>
  <c r="E125" i="9"/>
  <c r="E142" i="9" s="1"/>
  <c r="E143" i="9" s="1"/>
  <c r="F125" i="9"/>
  <c r="G125" i="9"/>
  <c r="H125" i="9"/>
  <c r="I125" i="9"/>
  <c r="J125" i="9"/>
  <c r="K125" i="9"/>
  <c r="L125" i="9"/>
  <c r="L142" i="9" s="1"/>
  <c r="E141" i="9"/>
  <c r="F141" i="9"/>
  <c r="G141" i="9"/>
  <c r="H141" i="9"/>
  <c r="I141" i="9"/>
  <c r="J141" i="9"/>
  <c r="K141" i="9"/>
  <c r="L141" i="9"/>
  <c r="A145" i="9"/>
  <c r="F145" i="9"/>
  <c r="E159" i="9"/>
  <c r="F159" i="9"/>
  <c r="G159" i="9"/>
  <c r="H159" i="9"/>
  <c r="H176" i="9" s="1"/>
  <c r="I159" i="9"/>
  <c r="J159" i="9"/>
  <c r="K159" i="9"/>
  <c r="L159" i="9"/>
  <c r="E175" i="9"/>
  <c r="F175" i="9"/>
  <c r="G175" i="9"/>
  <c r="H175" i="9"/>
  <c r="I175" i="9"/>
  <c r="I176" i="9" s="1"/>
  <c r="J175" i="9"/>
  <c r="K175" i="9"/>
  <c r="L175" i="9"/>
  <c r="J176" i="9"/>
  <c r="A179" i="9"/>
  <c r="F179" i="9"/>
  <c r="E193" i="9"/>
  <c r="F193" i="9"/>
  <c r="G193" i="9"/>
  <c r="H193" i="9"/>
  <c r="I193" i="9"/>
  <c r="J193" i="9"/>
  <c r="K193" i="9"/>
  <c r="L193" i="9"/>
  <c r="E209" i="9"/>
  <c r="F209" i="9"/>
  <c r="G209" i="9"/>
  <c r="H209" i="9"/>
  <c r="I209" i="9"/>
  <c r="J209" i="9"/>
  <c r="K209" i="9"/>
  <c r="L209" i="9"/>
  <c r="A213" i="9"/>
  <c r="F213" i="9"/>
  <c r="E227" i="9"/>
  <c r="E244" i="9" s="1"/>
  <c r="E245" i="9" s="1"/>
  <c r="F227" i="9"/>
  <c r="F244" i="9" s="1"/>
  <c r="G227" i="9"/>
  <c r="H227" i="9"/>
  <c r="I227" i="9"/>
  <c r="J227" i="9"/>
  <c r="K227" i="9"/>
  <c r="L227" i="9"/>
  <c r="E243" i="9"/>
  <c r="F243" i="9"/>
  <c r="G243" i="9"/>
  <c r="H243" i="9"/>
  <c r="H244" i="9" s="1"/>
  <c r="I243" i="9"/>
  <c r="J243" i="9"/>
  <c r="K243" i="9"/>
  <c r="L243" i="9"/>
  <c r="L244" i="9" s="1"/>
  <c r="A247" i="9"/>
  <c r="F247" i="9"/>
  <c r="E261" i="9"/>
  <c r="F261" i="9"/>
  <c r="G261" i="9"/>
  <c r="H261" i="9"/>
  <c r="I261" i="9"/>
  <c r="J261" i="9"/>
  <c r="K261" i="9"/>
  <c r="L261" i="9"/>
  <c r="E277" i="9"/>
  <c r="F277" i="9"/>
  <c r="F278" i="9" s="1"/>
  <c r="G277" i="9"/>
  <c r="H277" i="9"/>
  <c r="I277" i="9"/>
  <c r="J277" i="9"/>
  <c r="K277" i="9"/>
  <c r="L277" i="9"/>
  <c r="A281" i="9"/>
  <c r="F281" i="9"/>
  <c r="E295" i="9"/>
  <c r="F295" i="9"/>
  <c r="G295" i="9"/>
  <c r="G312" i="9" s="1"/>
  <c r="H295" i="9"/>
  <c r="I295" i="9"/>
  <c r="I312" i="9" s="1"/>
  <c r="J295" i="9"/>
  <c r="J312" i="9" s="1"/>
  <c r="K295" i="9"/>
  <c r="L295" i="9"/>
  <c r="E311" i="9"/>
  <c r="F311" i="9"/>
  <c r="G311" i="9"/>
  <c r="H311" i="9"/>
  <c r="I311" i="9"/>
  <c r="J311" i="9"/>
  <c r="K311" i="9"/>
  <c r="L311" i="9"/>
  <c r="F312" i="9"/>
  <c r="E315" i="9"/>
  <c r="E316" i="9" s="1"/>
  <c r="F315" i="9"/>
  <c r="F316" i="9" s="1"/>
  <c r="G315" i="9"/>
  <c r="G316" i="9" s="1"/>
  <c r="H315" i="9"/>
  <c r="I315" i="9"/>
  <c r="J315" i="9"/>
  <c r="J316" i="9" s="1"/>
  <c r="K315" i="9"/>
  <c r="K316" i="9" s="1"/>
  <c r="L315" i="9"/>
  <c r="L316" i="9" s="1"/>
  <c r="H316" i="9"/>
  <c r="I316" i="9"/>
  <c r="G8" i="2"/>
  <c r="O8" i="2"/>
  <c r="H9" i="2"/>
  <c r="H16" i="2" s="1"/>
  <c r="O9" i="2"/>
  <c r="I10" i="2"/>
  <c r="O10" i="2"/>
  <c r="J11" i="2"/>
  <c r="O11" i="2" s="1"/>
  <c r="K12" i="2"/>
  <c r="O12" i="2"/>
  <c r="O13" i="2"/>
  <c r="O14" i="2"/>
  <c r="O15" i="2"/>
  <c r="E16" i="2"/>
  <c r="G16" i="2"/>
  <c r="J16" i="2"/>
  <c r="K16" i="2"/>
  <c r="L16" i="2"/>
  <c r="M16" i="2"/>
  <c r="N16" i="2"/>
  <c r="G20" i="2"/>
  <c r="O20" i="2" s="1"/>
  <c r="H21" i="2"/>
  <c r="O21" i="2" s="1"/>
  <c r="I22" i="2"/>
  <c r="J23" i="2"/>
  <c r="K24" i="2"/>
  <c r="K28" i="2" s="1"/>
  <c r="O24" i="2"/>
  <c r="O25" i="2"/>
  <c r="O26" i="2"/>
  <c r="O27" i="2"/>
  <c r="E28" i="2"/>
  <c r="G28" i="2"/>
  <c r="L28" i="2"/>
  <c r="M28" i="2"/>
  <c r="N28" i="2"/>
  <c r="G32" i="2"/>
  <c r="G40" i="2" s="1"/>
  <c r="O32" i="2"/>
  <c r="H33" i="2"/>
  <c r="H40" i="2" s="1"/>
  <c r="O33" i="2"/>
  <c r="I34" i="2"/>
  <c r="I40" i="2" s="1"/>
  <c r="O34" i="2"/>
  <c r="J35" i="2"/>
  <c r="J40" i="2" s="1"/>
  <c r="K36" i="2"/>
  <c r="O37" i="2"/>
  <c r="O38" i="2"/>
  <c r="O39" i="2"/>
  <c r="E40" i="2"/>
  <c r="L40" i="2"/>
  <c r="M40" i="2"/>
  <c r="N40" i="2"/>
  <c r="G44" i="2"/>
  <c r="O44" i="2" s="1"/>
  <c r="H45" i="2"/>
  <c r="I46" i="2"/>
  <c r="O46" i="2" s="1"/>
  <c r="J47" i="2"/>
  <c r="J52" i="2" s="1"/>
  <c r="K48" i="2"/>
  <c r="K52" i="2" s="1"/>
  <c r="O49" i="2"/>
  <c r="O50" i="2"/>
  <c r="O51" i="2"/>
  <c r="E52" i="2"/>
  <c r="G52" i="2"/>
  <c r="I52" i="2"/>
  <c r="L52" i="2"/>
  <c r="M52" i="2"/>
  <c r="N52" i="2"/>
  <c r="G56" i="2"/>
  <c r="O56" i="2" s="1"/>
  <c r="H57" i="2"/>
  <c r="I58" i="2"/>
  <c r="O58" i="2"/>
  <c r="J59" i="2"/>
  <c r="J65" i="2" s="1"/>
  <c r="K60" i="2"/>
  <c r="O60" i="2"/>
  <c r="O61" i="2"/>
  <c r="O62" i="2"/>
  <c r="O63" i="2"/>
  <c r="O64" i="2"/>
  <c r="E65" i="2"/>
  <c r="I65" i="2"/>
  <c r="K65" i="2"/>
  <c r="L65" i="2"/>
  <c r="M65" i="2"/>
  <c r="N65" i="2"/>
  <c r="E69" i="2"/>
  <c r="H69" i="2"/>
  <c r="I69" i="2"/>
  <c r="J69" i="2"/>
  <c r="K69" i="2"/>
  <c r="L69" i="2"/>
  <c r="M69" i="2"/>
  <c r="N69" i="2"/>
  <c r="E70" i="2"/>
  <c r="G70" i="2"/>
  <c r="I70" i="2"/>
  <c r="J70" i="2"/>
  <c r="K70" i="2"/>
  <c r="L70" i="2"/>
  <c r="M70" i="2"/>
  <c r="N70" i="2"/>
  <c r="E71" i="2"/>
  <c r="G71" i="2"/>
  <c r="H71" i="2"/>
  <c r="J71" i="2"/>
  <c r="K71" i="2"/>
  <c r="L71" i="2"/>
  <c r="M71" i="2"/>
  <c r="N71" i="2"/>
  <c r="N77" i="2" s="1"/>
  <c r="E72" i="2"/>
  <c r="G72" i="2"/>
  <c r="H72" i="2"/>
  <c r="I72" i="2"/>
  <c r="K72" i="2"/>
  <c r="L72" i="2"/>
  <c r="M72" i="2"/>
  <c r="N72" i="2"/>
  <c r="E73" i="2"/>
  <c r="G73" i="2"/>
  <c r="H73" i="2"/>
  <c r="I73" i="2"/>
  <c r="J73" i="2"/>
  <c r="K73" i="2"/>
  <c r="L73" i="2"/>
  <c r="M73" i="2"/>
  <c r="N73" i="2"/>
  <c r="E74" i="2"/>
  <c r="G74" i="2"/>
  <c r="H74" i="2"/>
  <c r="I74" i="2"/>
  <c r="J74" i="2"/>
  <c r="K74" i="2"/>
  <c r="L74" i="2"/>
  <c r="M74" i="2"/>
  <c r="N74" i="2"/>
  <c r="E75" i="2"/>
  <c r="G75" i="2"/>
  <c r="O75" i="2" s="1"/>
  <c r="H75" i="2"/>
  <c r="I75" i="2"/>
  <c r="J75" i="2"/>
  <c r="K75" i="2"/>
  <c r="L75" i="2"/>
  <c r="M75" i="2"/>
  <c r="N75" i="2"/>
  <c r="E76" i="2"/>
  <c r="G76" i="2"/>
  <c r="H76" i="2"/>
  <c r="I76" i="2"/>
  <c r="J76" i="2"/>
  <c r="K76" i="2"/>
  <c r="L76" i="2"/>
  <c r="M76" i="2"/>
  <c r="N76" i="2"/>
  <c r="I176" i="1" l="1"/>
  <c r="L142" i="1"/>
  <c r="E142" i="1"/>
  <c r="E143" i="1" s="1"/>
  <c r="E74" i="1"/>
  <c r="E75" i="1" s="1"/>
  <c r="K74" i="1"/>
  <c r="H108" i="1"/>
  <c r="F244" i="1"/>
  <c r="H210" i="1"/>
  <c r="L176" i="1"/>
  <c r="G108" i="1"/>
  <c r="E244" i="1"/>
  <c r="E245" i="1" s="1"/>
  <c r="G210" i="1"/>
  <c r="G142" i="1"/>
  <c r="F108" i="1"/>
  <c r="H278" i="1"/>
  <c r="L210" i="1"/>
  <c r="F210" i="1"/>
  <c r="K176" i="6"/>
  <c r="F176" i="6"/>
  <c r="E176" i="6"/>
  <c r="E177" i="6" s="1"/>
  <c r="I176" i="6"/>
  <c r="L108" i="6"/>
  <c r="H278" i="6"/>
  <c r="H244" i="6"/>
  <c r="I108" i="6"/>
  <c r="L142" i="6"/>
  <c r="L142" i="7"/>
  <c r="L244" i="7"/>
  <c r="F244" i="7"/>
  <c r="J142" i="7"/>
  <c r="G278" i="7"/>
  <c r="K244" i="7"/>
  <c r="E244" i="7"/>
  <c r="E245" i="7" s="1"/>
  <c r="I210" i="7"/>
  <c r="I142" i="7"/>
  <c r="H210" i="7"/>
  <c r="L176" i="7"/>
  <c r="G210" i="7"/>
  <c r="E40" i="7"/>
  <c r="E41" i="7" s="1"/>
  <c r="L210" i="7"/>
  <c r="F210" i="7"/>
  <c r="L40" i="7"/>
  <c r="K278" i="7"/>
  <c r="E210" i="7"/>
  <c r="E211" i="7" s="1"/>
  <c r="K40" i="7"/>
  <c r="F45" i="8"/>
  <c r="F40" i="8"/>
  <c r="F210" i="8"/>
  <c r="G74" i="8"/>
  <c r="G210" i="8"/>
  <c r="I244" i="8"/>
  <c r="F74" i="8"/>
  <c r="K40" i="8"/>
  <c r="G176" i="8"/>
  <c r="L210" i="8"/>
  <c r="J40" i="8"/>
  <c r="I40" i="8"/>
  <c r="F278" i="8"/>
  <c r="J210" i="8"/>
  <c r="F142" i="8"/>
  <c r="I74" i="9"/>
  <c r="G108" i="9"/>
  <c r="E278" i="9"/>
  <c r="E279" i="9" s="1"/>
  <c r="F249" i="9" s="1"/>
  <c r="L176" i="9"/>
  <c r="F176" i="9"/>
  <c r="J244" i="9"/>
  <c r="K176" i="9"/>
  <c r="E312" i="9"/>
  <c r="E313" i="9" s="1"/>
  <c r="I278" i="9"/>
  <c r="I244" i="9"/>
  <c r="L108" i="9"/>
  <c r="H108" i="9"/>
  <c r="L312" i="9"/>
  <c r="K312" i="9"/>
  <c r="G244" i="9"/>
  <c r="M77" i="2"/>
  <c r="J40" i="9"/>
  <c r="E108" i="6"/>
  <c r="E109" i="6" s="1"/>
  <c r="L74" i="6"/>
  <c r="K77" i="2"/>
  <c r="O16" i="2"/>
  <c r="K244" i="9"/>
  <c r="O36" i="2"/>
  <c r="K40" i="2"/>
  <c r="I108" i="9"/>
  <c r="O35" i="2"/>
  <c r="G210" i="9"/>
  <c r="E278" i="6"/>
  <c r="E279" i="6" s="1"/>
  <c r="F79" i="9"/>
  <c r="F109" i="9" s="1"/>
  <c r="G79" i="9" s="1"/>
  <c r="G109" i="9" s="1"/>
  <c r="K108" i="6"/>
  <c r="G278" i="8"/>
  <c r="E210" i="8"/>
  <c r="E211" i="8" s="1"/>
  <c r="F181" i="8" s="1"/>
  <c r="F211" i="8" s="1"/>
  <c r="F147" i="8"/>
  <c r="G40" i="8"/>
  <c r="L40" i="1"/>
  <c r="J108" i="6"/>
  <c r="H244" i="7"/>
  <c r="K142" i="6"/>
  <c r="L77" i="2"/>
  <c r="K142" i="9"/>
  <c r="F40" i="9"/>
  <c r="L210" i="6"/>
  <c r="J142" i="6"/>
  <c r="K210" i="7"/>
  <c r="H142" i="7"/>
  <c r="F74" i="7"/>
  <c r="H244" i="8"/>
  <c r="E40" i="9"/>
  <c r="E41" i="9" s="1"/>
  <c r="G40" i="7"/>
  <c r="K210" i="8"/>
  <c r="E142" i="8"/>
  <c r="E143" i="8" s="1"/>
  <c r="L244" i="1"/>
  <c r="H74" i="1"/>
  <c r="K74" i="9"/>
  <c r="E210" i="6"/>
  <c r="E211" i="6" s="1"/>
  <c r="L40" i="9"/>
  <c r="F40" i="7"/>
  <c r="F244" i="8"/>
  <c r="J108" i="8"/>
  <c r="L210" i="9"/>
  <c r="F210" i="9"/>
  <c r="H142" i="9"/>
  <c r="K108" i="9"/>
  <c r="G278" i="6"/>
  <c r="E278" i="8"/>
  <c r="E279" i="8" s="1"/>
  <c r="E244" i="8"/>
  <c r="E245" i="8" s="1"/>
  <c r="I210" i="8"/>
  <c r="K142" i="8"/>
  <c r="E40" i="8"/>
  <c r="E41" i="8" s="1"/>
  <c r="J244" i="1"/>
  <c r="J142" i="1"/>
  <c r="L74" i="1"/>
  <c r="F74" i="1"/>
  <c r="K40" i="1"/>
  <c r="I278" i="6"/>
  <c r="O40" i="2"/>
  <c r="I142" i="9"/>
  <c r="H40" i="6"/>
  <c r="G278" i="1"/>
  <c r="O48" i="2"/>
  <c r="H278" i="9"/>
  <c r="K210" i="9"/>
  <c r="H74" i="9"/>
  <c r="F278" i="6"/>
  <c r="J176" i="6"/>
  <c r="H108" i="6"/>
  <c r="G74" i="6"/>
  <c r="K40" i="6"/>
  <c r="F40" i="6"/>
  <c r="L278" i="7"/>
  <c r="F278" i="7"/>
  <c r="J74" i="7"/>
  <c r="L244" i="8"/>
  <c r="H210" i="8"/>
  <c r="J74" i="8"/>
  <c r="K278" i="1"/>
  <c r="E278" i="1"/>
  <c r="E279" i="1" s="1"/>
  <c r="F249" i="1" s="1"/>
  <c r="F279" i="1" s="1"/>
  <c r="G249" i="1" s="1"/>
  <c r="G279" i="1" s="1"/>
  <c r="I244" i="1"/>
  <c r="O76" i="2"/>
  <c r="H210" i="9"/>
  <c r="J142" i="9"/>
  <c r="F113" i="9"/>
  <c r="K210" i="6"/>
  <c r="I278" i="7"/>
  <c r="J210" i="7"/>
  <c r="E74" i="7"/>
  <c r="E75" i="7" s="1"/>
  <c r="J210" i="9"/>
  <c r="I40" i="9"/>
  <c r="K244" i="6"/>
  <c r="G108" i="6"/>
  <c r="J40" i="6"/>
  <c r="E40" i="6"/>
  <c r="E41" i="6" s="1"/>
  <c r="E278" i="7"/>
  <c r="E279" i="7" s="1"/>
  <c r="F249" i="7" s="1"/>
  <c r="F279" i="7" s="1"/>
  <c r="K176" i="7"/>
  <c r="E176" i="7"/>
  <c r="E177" i="7" s="1"/>
  <c r="F147" i="7" s="1"/>
  <c r="I74" i="7"/>
  <c r="I278" i="8"/>
  <c r="K244" i="8"/>
  <c r="F176" i="1"/>
  <c r="H142" i="1"/>
  <c r="J74" i="1"/>
  <c r="E77" i="2"/>
  <c r="L278" i="9"/>
  <c r="F74" i="9"/>
  <c r="J244" i="6"/>
  <c r="H176" i="6"/>
  <c r="F108" i="6"/>
  <c r="I40" i="6"/>
  <c r="J176" i="7"/>
  <c r="H74" i="7"/>
  <c r="G244" i="1"/>
  <c r="I210" i="1"/>
  <c r="I40" i="1"/>
  <c r="F215" i="9"/>
  <c r="F245" i="9" s="1"/>
  <c r="F147" i="6"/>
  <c r="F177" i="6" s="1"/>
  <c r="O73" i="2"/>
  <c r="G69" i="2"/>
  <c r="I28" i="2"/>
  <c r="O22" i="2"/>
  <c r="O74" i="2"/>
  <c r="F279" i="9"/>
  <c r="O71" i="2"/>
  <c r="I6" i="9"/>
  <c r="O23" i="2"/>
  <c r="J28" i="2"/>
  <c r="J72" i="2"/>
  <c r="O72" i="2" s="1"/>
  <c r="H312" i="9"/>
  <c r="K278" i="6"/>
  <c r="F215" i="6"/>
  <c r="F245" i="6" s="1"/>
  <c r="H79" i="9"/>
  <c r="F79" i="6"/>
  <c r="H65" i="2"/>
  <c r="O57" i="2"/>
  <c r="O65" i="2" s="1"/>
  <c r="O47" i="2"/>
  <c r="F181" i="7"/>
  <c r="F211" i="7" s="1"/>
  <c r="F113" i="7"/>
  <c r="F143" i="7" s="1"/>
  <c r="G113" i="7" s="1"/>
  <c r="G143" i="7" s="1"/>
  <c r="H113" i="7" s="1"/>
  <c r="H143" i="7" s="1"/>
  <c r="I113" i="7" s="1"/>
  <c r="I143" i="7" s="1"/>
  <c r="J113" i="7" s="1"/>
  <c r="J143" i="7" s="1"/>
  <c r="K113" i="7" s="1"/>
  <c r="K143" i="7" s="1"/>
  <c r="L113" i="7" s="1"/>
  <c r="L143" i="7" s="1"/>
  <c r="F176" i="8"/>
  <c r="F79" i="1"/>
  <c r="J278" i="9"/>
  <c r="G65" i="2"/>
  <c r="F79" i="8"/>
  <c r="F109" i="8" s="1"/>
  <c r="F10" i="1"/>
  <c r="F10" i="9"/>
  <c r="F41" i="9" s="1"/>
  <c r="L142" i="8"/>
  <c r="J278" i="6"/>
  <c r="I244" i="7"/>
  <c r="F249" i="8"/>
  <c r="F181" i="1"/>
  <c r="F211" i="1" s="1"/>
  <c r="G278" i="9"/>
  <c r="I244" i="6"/>
  <c r="F215" i="7"/>
  <c r="F245" i="7" s="1"/>
  <c r="G244" i="7"/>
  <c r="E210" i="9"/>
  <c r="E211" i="9" s="1"/>
  <c r="E74" i="9"/>
  <c r="E75" i="9" s="1"/>
  <c r="E142" i="6"/>
  <c r="E143" i="6" s="1"/>
  <c r="I77" i="2"/>
  <c r="O45" i="2"/>
  <c r="H52" i="2"/>
  <c r="G176" i="9"/>
  <c r="H74" i="6"/>
  <c r="K142" i="7"/>
  <c r="E176" i="9"/>
  <c r="E177" i="9" s="1"/>
  <c r="G142" i="9"/>
  <c r="G176" i="1"/>
  <c r="I16" i="2"/>
  <c r="I71" i="2"/>
  <c r="F142" i="9"/>
  <c r="L278" i="6"/>
  <c r="J278" i="7"/>
  <c r="G74" i="7"/>
  <c r="I74" i="8"/>
  <c r="K244" i="1"/>
  <c r="L108" i="8"/>
  <c r="K142" i="1"/>
  <c r="I74" i="1"/>
  <c r="O59" i="2"/>
  <c r="I142" i="6"/>
  <c r="H278" i="7"/>
  <c r="K108" i="8"/>
  <c r="G40" i="1"/>
  <c r="H70" i="2"/>
  <c r="O70" i="2" s="1"/>
  <c r="K278" i="9"/>
  <c r="I210" i="9"/>
  <c r="H142" i="6"/>
  <c r="F74" i="6"/>
  <c r="H176" i="7"/>
  <c r="E108" i="7"/>
  <c r="E109" i="7" s="1"/>
  <c r="I142" i="1"/>
  <c r="J108" i="1"/>
  <c r="G74" i="1"/>
  <c r="F40" i="1"/>
  <c r="J210" i="6"/>
  <c r="G142" i="6"/>
  <c r="E74" i="6"/>
  <c r="E75" i="6" s="1"/>
  <c r="G176" i="7"/>
  <c r="L74" i="8"/>
  <c r="E176" i="1"/>
  <c r="E177" i="1" s="1"/>
  <c r="I108" i="1"/>
  <c r="H28" i="2"/>
  <c r="I210" i="6"/>
  <c r="F142" i="6"/>
  <c r="J244" i="7"/>
  <c r="F176" i="7"/>
  <c r="F177" i="7" s="1"/>
  <c r="K74" i="8"/>
  <c r="L40" i="8"/>
  <c r="F113" i="1" l="1"/>
  <c r="F143" i="1" s="1"/>
  <c r="F215" i="1"/>
  <c r="F245" i="1" s="1"/>
  <c r="F109" i="1"/>
  <c r="F45" i="1"/>
  <c r="F75" i="1" s="1"/>
  <c r="F109" i="6"/>
  <c r="F10" i="7"/>
  <c r="F41" i="7" s="1"/>
  <c r="F279" i="8"/>
  <c r="F177" i="8"/>
  <c r="G147" i="8" s="1"/>
  <c r="G177" i="8" s="1"/>
  <c r="H147" i="8" s="1"/>
  <c r="H177" i="8" s="1"/>
  <c r="I147" i="8" s="1"/>
  <c r="I177" i="8" s="1"/>
  <c r="J147" i="8" s="1"/>
  <c r="J177" i="8" s="1"/>
  <c r="K147" i="8" s="1"/>
  <c r="K177" i="8" s="1"/>
  <c r="L147" i="8" s="1"/>
  <c r="L177" i="8" s="1"/>
  <c r="F75" i="8"/>
  <c r="H109" i="9"/>
  <c r="F283" i="9"/>
  <c r="F313" i="9" s="1"/>
  <c r="F143" i="9"/>
  <c r="G113" i="9" s="1"/>
  <c r="G143" i="9" s="1"/>
  <c r="H113" i="9" s="1"/>
  <c r="H143" i="9" s="1"/>
  <c r="I113" i="9" s="1"/>
  <c r="I143" i="9" s="1"/>
  <c r="J113" i="9" s="1"/>
  <c r="J143" i="9" s="1"/>
  <c r="K113" i="9" s="1"/>
  <c r="K143" i="9" s="1"/>
  <c r="L113" i="9" s="1"/>
  <c r="L143" i="9" s="1"/>
  <c r="G215" i="1"/>
  <c r="G245" i="1" s="1"/>
  <c r="F10" i="8"/>
  <c r="F41" i="8" s="1"/>
  <c r="O52" i="2"/>
  <c r="O28" i="2"/>
  <c r="F45" i="7"/>
  <c r="F75" i="7" s="1"/>
  <c r="F215" i="8"/>
  <c r="F245" i="8" s="1"/>
  <c r="F181" i="6"/>
  <c r="F211" i="6" s="1"/>
  <c r="G181" i="6" s="1"/>
  <c r="G211" i="6" s="1"/>
  <c r="F41" i="1"/>
  <c r="F10" i="6"/>
  <c r="F41" i="6" s="1"/>
  <c r="G10" i="6" s="1"/>
  <c r="G41" i="6" s="1"/>
  <c r="F113" i="8"/>
  <c r="F143" i="8" s="1"/>
  <c r="G113" i="8" s="1"/>
  <c r="G143" i="8" s="1"/>
  <c r="H113" i="8" s="1"/>
  <c r="H143" i="8" s="1"/>
  <c r="I113" i="8" s="1"/>
  <c r="I143" i="8" s="1"/>
  <c r="J113" i="8" s="1"/>
  <c r="J143" i="8" s="1"/>
  <c r="K113" i="8" s="1"/>
  <c r="K143" i="8" s="1"/>
  <c r="L113" i="8" s="1"/>
  <c r="L143" i="8" s="1"/>
  <c r="F249" i="6"/>
  <c r="F279" i="6" s="1"/>
  <c r="G147" i="7"/>
  <c r="G177" i="7" s="1"/>
  <c r="G249" i="7"/>
  <c r="G279" i="7" s="1"/>
  <c r="J77" i="2"/>
  <c r="G181" i="1"/>
  <c r="G211" i="1" s="1"/>
  <c r="F45" i="9"/>
  <c r="F75" i="9" s="1"/>
  <c r="F181" i="9"/>
  <c r="F211" i="9" s="1"/>
  <c r="G79" i="1"/>
  <c r="G109" i="1" s="1"/>
  <c r="G249" i="9"/>
  <c r="G279" i="9" s="1"/>
  <c r="F79" i="7"/>
  <c r="F109" i="7" s="1"/>
  <c r="G215" i="6"/>
  <c r="G245" i="6" s="1"/>
  <c r="H77" i="2"/>
  <c r="G45" i="1"/>
  <c r="G75" i="1" s="1"/>
  <c r="G10" i="9"/>
  <c r="G41" i="9" s="1"/>
  <c r="G181" i="8"/>
  <c r="G211" i="8" s="1"/>
  <c r="G79" i="8"/>
  <c r="G109" i="8" s="1"/>
  <c r="F45" i="6"/>
  <c r="F75" i="6" s="1"/>
  <c r="G147" i="6"/>
  <c r="G177" i="6" s="1"/>
  <c r="G181" i="7"/>
  <c r="G211" i="7" s="1"/>
  <c r="G79" i="6"/>
  <c r="G109" i="6" s="1"/>
  <c r="G113" i="1"/>
  <c r="G143" i="1" s="1"/>
  <c r="F147" i="1"/>
  <c r="F177" i="1" s="1"/>
  <c r="F147" i="9"/>
  <c r="F177" i="9" s="1"/>
  <c r="G147" i="9" s="1"/>
  <c r="G177" i="9" s="1"/>
  <c r="H147" i="9" s="1"/>
  <c r="H177" i="9" s="1"/>
  <c r="I147" i="9" s="1"/>
  <c r="I177" i="9" s="1"/>
  <c r="J147" i="9" s="1"/>
  <c r="J177" i="9" s="1"/>
  <c r="K147" i="9" s="1"/>
  <c r="K177" i="9" s="1"/>
  <c r="L147" i="9" s="1"/>
  <c r="L177" i="9" s="1"/>
  <c r="G249" i="8"/>
  <c r="G279" i="8" s="1"/>
  <c r="I79" i="9"/>
  <c r="I109" i="9" s="1"/>
  <c r="H249" i="1"/>
  <c r="H279" i="1" s="1"/>
  <c r="G215" i="9"/>
  <c r="G245" i="9" s="1"/>
  <c r="F113" i="6"/>
  <c r="F143" i="6" s="1"/>
  <c r="G113" i="6" s="1"/>
  <c r="G143" i="6" s="1"/>
  <c r="H113" i="6" s="1"/>
  <c r="H143" i="6" s="1"/>
  <c r="I113" i="6" s="1"/>
  <c r="I143" i="6" s="1"/>
  <c r="J113" i="6" s="1"/>
  <c r="J143" i="6" s="1"/>
  <c r="K113" i="6" s="1"/>
  <c r="K143" i="6" s="1"/>
  <c r="L113" i="6" s="1"/>
  <c r="L143" i="6" s="1"/>
  <c r="G215" i="7"/>
  <c r="G245" i="7" s="1"/>
  <c r="J6" i="9"/>
  <c r="G77" i="2"/>
  <c r="O69" i="2"/>
  <c r="O77" i="2" s="1"/>
  <c r="G10" i="1" l="1"/>
  <c r="G41" i="1" s="1"/>
  <c r="G10" i="7"/>
  <c r="G41" i="7" s="1"/>
  <c r="G45" i="8"/>
  <c r="G75" i="8" s="1"/>
  <c r="G283" i="9"/>
  <c r="G313" i="9" s="1"/>
  <c r="G215" i="8"/>
  <c r="G245" i="8" s="1"/>
  <c r="G45" i="7"/>
  <c r="G75" i="7" s="1"/>
  <c r="G249" i="6"/>
  <c r="G279" i="6" s="1"/>
  <c r="G10" i="8"/>
  <c r="G41" i="8" s="1"/>
  <c r="H215" i="1"/>
  <c r="H245" i="1" s="1"/>
  <c r="G181" i="9"/>
  <c r="G211" i="9" s="1"/>
  <c r="H181" i="1"/>
  <c r="H211" i="1" s="1"/>
  <c r="H215" i="7"/>
  <c r="H245" i="7" s="1"/>
  <c r="H113" i="1"/>
  <c r="H143" i="1" s="1"/>
  <c r="H147" i="6"/>
  <c r="H177" i="6" s="1"/>
  <c r="H10" i="9"/>
  <c r="H41" i="9" s="1"/>
  <c r="H79" i="1"/>
  <c r="H109" i="1" s="1"/>
  <c r="H215" i="6"/>
  <c r="H245" i="6" s="1"/>
  <c r="G45" i="9"/>
  <c r="G75" i="9" s="1"/>
  <c r="H249" i="7"/>
  <c r="H279" i="7" s="1"/>
  <c r="H215" i="9"/>
  <c r="H245" i="9" s="1"/>
  <c r="G79" i="7"/>
  <c r="G109" i="7" s="1"/>
  <c r="H10" i="6"/>
  <c r="H41" i="6" s="1"/>
  <c r="G45" i="6"/>
  <c r="G75" i="6" s="1"/>
  <c r="I249" i="1"/>
  <c r="I279" i="1" s="1"/>
  <c r="H181" i="7"/>
  <c r="H211" i="7" s="1"/>
  <c r="K6" i="9"/>
  <c r="H249" i="9"/>
  <c r="H279" i="9" s="1"/>
  <c r="H181" i="6"/>
  <c r="H211" i="6" s="1"/>
  <c r="H147" i="7"/>
  <c r="H177" i="7" s="1"/>
  <c r="H79" i="6"/>
  <c r="H109" i="6" s="1"/>
  <c r="H79" i="8"/>
  <c r="H109" i="8" s="1"/>
  <c r="H249" i="8"/>
  <c r="H279" i="8" s="1"/>
  <c r="H181" i="8"/>
  <c r="H211" i="8" s="1"/>
  <c r="J79" i="9"/>
  <c r="J109" i="9" s="1"/>
  <c r="G147" i="1"/>
  <c r="G177" i="1" s="1"/>
  <c r="H10" i="7"/>
  <c r="H41" i="7" s="1"/>
  <c r="H10" i="1"/>
  <c r="H41" i="1" s="1"/>
  <c r="H45" i="1"/>
  <c r="H75" i="1" s="1"/>
  <c r="H45" i="8" l="1"/>
  <c r="H75" i="8" s="1"/>
  <c r="H283" i="9"/>
  <c r="H313" i="9" s="1"/>
  <c r="H249" i="6"/>
  <c r="H279" i="6" s="1"/>
  <c r="H45" i="7"/>
  <c r="H75" i="7" s="1"/>
  <c r="H215" i="8"/>
  <c r="H245" i="8" s="1"/>
  <c r="H10" i="8"/>
  <c r="H41" i="8" s="1"/>
  <c r="I215" i="1"/>
  <c r="I245" i="1" s="1"/>
  <c r="I215" i="9"/>
  <c r="I245" i="9" s="1"/>
  <c r="I79" i="1"/>
  <c r="I109" i="1" s="1"/>
  <c r="K79" i="9"/>
  <c r="K109" i="9" s="1"/>
  <c r="I181" i="7"/>
  <c r="I211" i="7" s="1"/>
  <c r="I249" i="7"/>
  <c r="I279" i="7" s="1"/>
  <c r="I215" i="7"/>
  <c r="I245" i="7" s="1"/>
  <c r="I181" i="8"/>
  <c r="I211" i="8" s="1"/>
  <c r="I249" i="9"/>
  <c r="I279" i="9" s="1"/>
  <c r="I10" i="9"/>
  <c r="I41" i="9" s="1"/>
  <c r="I249" i="8"/>
  <c r="I279" i="8" s="1"/>
  <c r="J249" i="1"/>
  <c r="J279" i="1" s="1"/>
  <c r="I181" i="1"/>
  <c r="I211" i="1" s="1"/>
  <c r="I147" i="6"/>
  <c r="I177" i="6" s="1"/>
  <c r="H45" i="6"/>
  <c r="H75" i="6" s="1"/>
  <c r="H45" i="9"/>
  <c r="H75" i="9" s="1"/>
  <c r="L6" i="9"/>
  <c r="I113" i="1"/>
  <c r="I143" i="1" s="1"/>
  <c r="H181" i="9"/>
  <c r="H211" i="9" s="1"/>
  <c r="I10" i="6"/>
  <c r="I41" i="6" s="1"/>
  <c r="I10" i="1"/>
  <c r="I41" i="1" s="1"/>
  <c r="I10" i="7"/>
  <c r="I41" i="7" s="1"/>
  <c r="I79" i="8"/>
  <c r="I109" i="8" s="1"/>
  <c r="I79" i="6"/>
  <c r="I109" i="6" s="1"/>
  <c r="I147" i="7"/>
  <c r="I177" i="7" s="1"/>
  <c r="H79" i="7"/>
  <c r="H109" i="7" s="1"/>
  <c r="I215" i="6"/>
  <c r="I245" i="6" s="1"/>
  <c r="I45" i="1"/>
  <c r="I75" i="1" s="1"/>
  <c r="H147" i="1"/>
  <c r="H177" i="1" s="1"/>
  <c r="I181" i="6"/>
  <c r="I211" i="6" s="1"/>
  <c r="I45" i="8" l="1"/>
  <c r="I75" i="8" s="1"/>
  <c r="I283" i="9"/>
  <c r="I313" i="9" s="1"/>
  <c r="I10" i="8"/>
  <c r="I41" i="8" s="1"/>
  <c r="J215" i="1"/>
  <c r="J245" i="1" s="1"/>
  <c r="I215" i="8"/>
  <c r="I245" i="8" s="1"/>
  <c r="I45" i="7"/>
  <c r="I75" i="7" s="1"/>
  <c r="I249" i="6"/>
  <c r="I279" i="6" s="1"/>
  <c r="I45" i="6"/>
  <c r="I75" i="6" s="1"/>
  <c r="J10" i="6"/>
  <c r="J41" i="6" s="1"/>
  <c r="J147" i="6"/>
  <c r="J177" i="6" s="1"/>
  <c r="J181" i="7"/>
  <c r="J211" i="7" s="1"/>
  <c r="J215" i="6"/>
  <c r="J245" i="6" s="1"/>
  <c r="J10" i="7"/>
  <c r="J41" i="7" s="1"/>
  <c r="I181" i="9"/>
  <c r="I211" i="9" s="1"/>
  <c r="J249" i="9"/>
  <c r="J279" i="9" s="1"/>
  <c r="I79" i="7"/>
  <c r="I109" i="7" s="1"/>
  <c r="J113" i="1"/>
  <c r="J143" i="1" s="1"/>
  <c r="J181" i="8"/>
  <c r="J211" i="8" s="1"/>
  <c r="L79" i="9"/>
  <c r="L109" i="9" s="1"/>
  <c r="J181" i="1"/>
  <c r="J211" i="1" s="1"/>
  <c r="J79" i="1"/>
  <c r="J109" i="1" s="1"/>
  <c r="J10" i="1"/>
  <c r="J41" i="1" s="1"/>
  <c r="J79" i="6"/>
  <c r="J109" i="6" s="1"/>
  <c r="J215" i="7"/>
  <c r="J245" i="7" s="1"/>
  <c r="J215" i="9"/>
  <c r="J245" i="9" s="1"/>
  <c r="J181" i="6"/>
  <c r="J211" i="6" s="1"/>
  <c r="I147" i="1"/>
  <c r="I177" i="1" s="1"/>
  <c r="K249" i="1"/>
  <c r="K279" i="1" s="1"/>
  <c r="J147" i="7"/>
  <c r="J177" i="7" s="1"/>
  <c r="J79" i="8"/>
  <c r="J109" i="8" s="1"/>
  <c r="J249" i="8"/>
  <c r="J279" i="8" s="1"/>
  <c r="J249" i="7"/>
  <c r="J279" i="7" s="1"/>
  <c r="J45" i="1"/>
  <c r="J75" i="1" s="1"/>
  <c r="I45" i="9"/>
  <c r="I75" i="9" s="1"/>
  <c r="J10" i="9"/>
  <c r="J41" i="9" s="1"/>
  <c r="J45" i="8" l="1"/>
  <c r="J75" i="8" s="1"/>
  <c r="J283" i="9"/>
  <c r="J313" i="9" s="1"/>
  <c r="J215" i="8"/>
  <c r="J245" i="8" s="1"/>
  <c r="K215" i="1"/>
  <c r="K245" i="1" s="1"/>
  <c r="J10" i="8"/>
  <c r="J41" i="8" s="1"/>
  <c r="J249" i="6"/>
  <c r="J279" i="6" s="1"/>
  <c r="J45" i="7"/>
  <c r="J75" i="7" s="1"/>
  <c r="K215" i="7"/>
  <c r="K245" i="7" s="1"/>
  <c r="K249" i="9"/>
  <c r="K279" i="9" s="1"/>
  <c r="K181" i="7"/>
  <c r="K211" i="7" s="1"/>
  <c r="K79" i="6"/>
  <c r="K109" i="6" s="1"/>
  <c r="J79" i="7"/>
  <c r="J109" i="7" s="1"/>
  <c r="K45" i="1"/>
  <c r="K75" i="1" s="1"/>
  <c r="J181" i="9"/>
  <c r="J211" i="9" s="1"/>
  <c r="K249" i="7"/>
  <c r="K279" i="7" s="1"/>
  <c r="K249" i="8"/>
  <c r="K279" i="8" s="1"/>
  <c r="K79" i="1"/>
  <c r="K109" i="1" s="1"/>
  <c r="K10" i="9"/>
  <c r="K41" i="9" s="1"/>
  <c r="K181" i="6"/>
  <c r="K211" i="6" s="1"/>
  <c r="K147" i="6"/>
  <c r="K177" i="6" s="1"/>
  <c r="L249" i="1"/>
  <c r="L279" i="1" s="1"/>
  <c r="J147" i="1"/>
  <c r="J177" i="1" s="1"/>
  <c r="K10" i="7"/>
  <c r="K41" i="7" s="1"/>
  <c r="K10" i="6"/>
  <c r="K41" i="6" s="1"/>
  <c r="K181" i="1"/>
  <c r="K211" i="1" s="1"/>
  <c r="J45" i="6"/>
  <c r="J75" i="6" s="1"/>
  <c r="K79" i="8"/>
  <c r="K109" i="8" s="1"/>
  <c r="K10" i="1"/>
  <c r="K41" i="1" s="1"/>
  <c r="K215" i="6"/>
  <c r="K245" i="6" s="1"/>
  <c r="K181" i="8"/>
  <c r="K211" i="8" s="1"/>
  <c r="K215" i="9"/>
  <c r="K245" i="9" s="1"/>
  <c r="K113" i="1"/>
  <c r="K143" i="1" s="1"/>
  <c r="J45" i="9"/>
  <c r="J75" i="9" s="1"/>
  <c r="K147" i="7"/>
  <c r="K177" i="7" s="1"/>
  <c r="K45" i="8" l="1"/>
  <c r="K75" i="8" s="1"/>
  <c r="K283" i="9"/>
  <c r="K313" i="9" s="1"/>
  <c r="K249" i="6"/>
  <c r="K279" i="6" s="1"/>
  <c r="K10" i="8"/>
  <c r="K41" i="8" s="1"/>
  <c r="L215" i="1"/>
  <c r="L245" i="1" s="1"/>
  <c r="K215" i="8"/>
  <c r="K245" i="8" s="1"/>
  <c r="K45" i="7"/>
  <c r="K75" i="7" s="1"/>
  <c r="L181" i="7"/>
  <c r="L211" i="7" s="1"/>
  <c r="L181" i="6"/>
  <c r="L211" i="6" s="1"/>
  <c r="L147" i="6"/>
  <c r="L177" i="6" s="1"/>
  <c r="L249" i="9"/>
  <c r="L279" i="9" s="1"/>
  <c r="K45" i="9"/>
  <c r="K75" i="9" s="1"/>
  <c r="L215" i="7"/>
  <c r="L245" i="7" s="1"/>
  <c r="L10" i="1"/>
  <c r="L41" i="1" s="1"/>
  <c r="L147" i="7"/>
  <c r="L177" i="7" s="1"/>
  <c r="K181" i="9"/>
  <c r="K211" i="9" s="1"/>
  <c r="L249" i="7"/>
  <c r="L279" i="7" s="1"/>
  <c r="K147" i="1"/>
  <c r="K177" i="1" s="1"/>
  <c r="L10" i="6"/>
  <c r="L41" i="6" s="1"/>
  <c r="L10" i="9"/>
  <c r="L41" i="9" s="1"/>
  <c r="L10" i="7"/>
  <c r="L41" i="7" s="1"/>
  <c r="L45" i="1"/>
  <c r="L75" i="1" s="1"/>
  <c r="L215" i="9"/>
  <c r="L245" i="9" s="1"/>
  <c r="L79" i="8"/>
  <c r="L109" i="8" s="1"/>
  <c r="K45" i="6"/>
  <c r="K75" i="6" s="1"/>
  <c r="L249" i="8"/>
  <c r="L279" i="8" s="1"/>
  <c r="L113" i="1"/>
  <c r="L143" i="1" s="1"/>
  <c r="L79" i="1"/>
  <c r="L109" i="1" s="1"/>
  <c r="L181" i="8"/>
  <c r="L211" i="8" s="1"/>
  <c r="K79" i="7"/>
  <c r="K109" i="7" s="1"/>
  <c r="L181" i="1"/>
  <c r="L211" i="1" s="1"/>
  <c r="L79" i="6"/>
  <c r="L109" i="6" s="1"/>
  <c r="L215" i="6"/>
  <c r="L245" i="6" s="1"/>
  <c r="L45" i="8" l="1"/>
  <c r="L75" i="8" s="1"/>
  <c r="L283" i="9"/>
  <c r="L313" i="9" s="1"/>
  <c r="L45" i="7"/>
  <c r="L75" i="7" s="1"/>
  <c r="L215" i="8"/>
  <c r="L245" i="8" s="1"/>
  <c r="L249" i="6"/>
  <c r="L279" i="6" s="1"/>
  <c r="L10" i="8"/>
  <c r="L41" i="8" s="1"/>
  <c r="L181" i="9"/>
  <c r="L211" i="9" s="1"/>
  <c r="L45" i="9"/>
  <c r="L75" i="9" s="1"/>
  <c r="L45" i="6"/>
  <c r="L75" i="6" s="1"/>
  <c r="L79" i="7"/>
  <c r="L109" i="7" s="1"/>
  <c r="L147" i="1"/>
  <c r="L177" i="1" s="1"/>
</calcChain>
</file>

<file path=xl/sharedStrings.xml><?xml version="1.0" encoding="utf-8"?>
<sst xmlns="http://schemas.openxmlformats.org/spreadsheetml/2006/main" count="829" uniqueCount="156">
  <si>
    <t>Liquiditätsplanung aufgrund der Einzelkonten</t>
  </si>
  <si>
    <t>Konto-Nr.</t>
  </si>
  <si>
    <t>Text</t>
  </si>
  <si>
    <t>T€</t>
  </si>
  <si>
    <t>Einnahmen</t>
  </si>
  <si>
    <t>Summe Einnahmen</t>
  </si>
  <si>
    <t>Ausgaben</t>
  </si>
  <si>
    <t>Summe Ausgaben</t>
  </si>
  <si>
    <t>Geldverkehr</t>
  </si>
  <si>
    <t>Saldo Einnahmen ./. Ausgaben</t>
  </si>
  <si>
    <t>Tagesendsaldo</t>
  </si>
  <si>
    <t>Planung in T€</t>
  </si>
  <si>
    <t>Saldo zum Tagesbeginn</t>
  </si>
  <si>
    <t>Dienstag</t>
  </si>
  <si>
    <t>Saldo Geldverkehr</t>
  </si>
  <si>
    <t>Grundaten zur Liquiditätsplanung</t>
  </si>
  <si>
    <t>1.</t>
  </si>
  <si>
    <t>Kredit-</t>
  </si>
  <si>
    <t>limit</t>
  </si>
  <si>
    <t>Summe</t>
  </si>
  <si>
    <t>2.</t>
  </si>
  <si>
    <t>3.</t>
  </si>
  <si>
    <t>4.</t>
  </si>
  <si>
    <t>5.</t>
  </si>
  <si>
    <t>6.</t>
  </si>
  <si>
    <t>gesamtes</t>
  </si>
  <si>
    <t>Kreditlimit</t>
  </si>
  <si>
    <t>Gesamt-Kreditrahmen</t>
  </si>
  <si>
    <t xml:space="preserve"> </t>
  </si>
  <si>
    <t>geplant</t>
  </si>
  <si>
    <t>Name</t>
  </si>
  <si>
    <t>Datum</t>
  </si>
  <si>
    <t>7.</t>
  </si>
  <si>
    <t>8.</t>
  </si>
  <si>
    <t>Mittwoch</t>
  </si>
  <si>
    <t>Donnerstag</t>
  </si>
  <si>
    <t>Freitag</t>
  </si>
  <si>
    <t>Samstag</t>
  </si>
  <si>
    <t>Sonntag</t>
  </si>
  <si>
    <t>Montag</t>
  </si>
  <si>
    <t>verbundene Unternehmen</t>
  </si>
  <si>
    <t>Zlg. Kreditoren</t>
  </si>
  <si>
    <t>Zlg. Verbundene Unternehmen</t>
  </si>
  <si>
    <t>Debitoren</t>
  </si>
  <si>
    <t>Verbund</t>
  </si>
  <si>
    <t>Lohn/Gehalt</t>
  </si>
  <si>
    <t>Lohnsteuer</t>
  </si>
  <si>
    <t>Sozialversicherung</t>
  </si>
  <si>
    <t>Mieten</t>
  </si>
  <si>
    <t>Ablösung Fahrzeuge</t>
  </si>
  <si>
    <t>Zahlung Kreditoren</t>
  </si>
  <si>
    <t>Zinsen</t>
  </si>
  <si>
    <t>Ablösung Fzge</t>
  </si>
  <si>
    <t>Kasse</t>
  </si>
  <si>
    <t>Zahlung Kreditoren Verb.</t>
  </si>
  <si>
    <t>Zahlung Leasingablös.</t>
  </si>
  <si>
    <t>Zahlung Vergleich</t>
  </si>
  <si>
    <t>Umbuchung</t>
  </si>
  <si>
    <t>Umsatzsteuer</t>
  </si>
  <si>
    <t>Loh/Gehalt</t>
  </si>
  <si>
    <t>Ablös. Fahrzeuge</t>
  </si>
  <si>
    <t>Zahlung Kred.</t>
  </si>
  <si>
    <t>Zinsen/Tilgung</t>
  </si>
  <si>
    <t>Gew. Steuer</t>
  </si>
  <si>
    <t>Grundsteuer</t>
  </si>
  <si>
    <t>Einfinanzierungen</t>
  </si>
  <si>
    <t>Händlerkonto</t>
  </si>
  <si>
    <t>Prämien VIPS</t>
  </si>
  <si>
    <t>Ablösungen  Fahrzeuge</t>
  </si>
  <si>
    <t>Zahlungen Kreditoren</t>
  </si>
  <si>
    <t>Zahlung Lasingablös.</t>
  </si>
  <si>
    <t>Kreditoren</t>
  </si>
  <si>
    <t>Schecks</t>
  </si>
  <si>
    <t>Geldtransit</t>
  </si>
  <si>
    <t>Ablösung Fzge.</t>
  </si>
  <si>
    <t>Kreditkarten</t>
  </si>
  <si>
    <t>TeleCash</t>
  </si>
  <si>
    <t>GW Einfinanzierung</t>
  </si>
  <si>
    <t>KF / KL</t>
  </si>
  <si>
    <t>GW Ablösung</t>
  </si>
  <si>
    <t>NW Ablösung</t>
  </si>
  <si>
    <t>Teilefinanzierung</t>
  </si>
  <si>
    <t>NW Temporär</t>
  </si>
  <si>
    <t>GW-Ankauf</t>
  </si>
  <si>
    <t>Diverse</t>
  </si>
  <si>
    <t>Restzahliung Lohn</t>
  </si>
  <si>
    <t>GW Ankauf</t>
  </si>
  <si>
    <t>Leasingauslauf</t>
  </si>
  <si>
    <t>Zahlung Verbundene</t>
  </si>
  <si>
    <t>Ablöse EF FB</t>
  </si>
  <si>
    <t>Kassen</t>
  </si>
  <si>
    <t>GW Finanzierungen</t>
  </si>
  <si>
    <t>Abbuchung Teile Rg. Volvo</t>
  </si>
  <si>
    <t>Tilgung Fahrzeugfinanzierungen</t>
  </si>
  <si>
    <t>Zlg. An AGG</t>
  </si>
  <si>
    <t>Leasingablös</t>
  </si>
  <si>
    <t>Volvo Autobank</t>
  </si>
  <si>
    <t>Office ED</t>
  </si>
  <si>
    <t>Ford Werke</t>
  </si>
  <si>
    <t>Ablöse EF Temp.</t>
  </si>
  <si>
    <t>GW Finanz.</t>
  </si>
  <si>
    <t>FZ Ankauf</t>
  </si>
  <si>
    <t>Fzge.</t>
  </si>
  <si>
    <t>Europa S. Ablös.MWST</t>
  </si>
  <si>
    <t>geplante AL Kasse</t>
  </si>
  <si>
    <t>KF/KL</t>
  </si>
  <si>
    <t>Lohn</t>
  </si>
  <si>
    <t>Lohn/Gehalt-Vorschuß</t>
  </si>
  <si>
    <t>Sozialversicherungen</t>
  </si>
  <si>
    <t>Stundung</t>
  </si>
  <si>
    <t>Löhne/Gehälter</t>
  </si>
  <si>
    <t>Gew./Kö.St. L</t>
  </si>
  <si>
    <t>Zinsen/Tilgung Banken</t>
  </si>
  <si>
    <t>Geldverkehr Steuern L</t>
  </si>
  <si>
    <t>Miete</t>
  </si>
  <si>
    <t>Prämien</t>
  </si>
  <si>
    <t>Zinsen/</t>
  </si>
  <si>
    <t>Tilgung</t>
  </si>
  <si>
    <t>Kred. Verb.</t>
  </si>
  <si>
    <t>Mietwagenprämie</t>
  </si>
  <si>
    <t>Tilgungen / Zinsen</t>
  </si>
  <si>
    <t>UST</t>
  </si>
  <si>
    <t>Grundbesitzabgaben</t>
  </si>
  <si>
    <t>Verbundene</t>
  </si>
  <si>
    <t>Verb.U.</t>
  </si>
  <si>
    <t>kreditoren</t>
  </si>
  <si>
    <t>Darlehen + Zinsen</t>
  </si>
  <si>
    <t>Auslieferung Überw.</t>
  </si>
  <si>
    <t>Ablöse FB</t>
  </si>
  <si>
    <t>Scheck retuer</t>
  </si>
  <si>
    <t>Geldverkehr/Kontoauff.</t>
  </si>
  <si>
    <t>Ablöse FB EF temp.</t>
  </si>
  <si>
    <t>Debitoren Verbund</t>
  </si>
  <si>
    <t>Zinsen Volvo Autobank</t>
  </si>
  <si>
    <t>Beitrag Maschinenb.</t>
  </si>
  <si>
    <t>Standort 1</t>
  </si>
  <si>
    <t>Standort 2</t>
  </si>
  <si>
    <t>Standort 3</t>
  </si>
  <si>
    <t>Standort 4</t>
  </si>
  <si>
    <t>Holding</t>
  </si>
  <si>
    <t>Bank 1</t>
  </si>
  <si>
    <t>Bank 2</t>
  </si>
  <si>
    <t>Bank 3</t>
  </si>
  <si>
    <t>Bank 4</t>
  </si>
  <si>
    <t>Bank 5</t>
  </si>
  <si>
    <t>Bank 6</t>
  </si>
  <si>
    <t>Bank 7</t>
  </si>
  <si>
    <t>Bank 8</t>
  </si>
  <si>
    <t>Hersteller Bank 1</t>
  </si>
  <si>
    <t>Hersteller Bank 2</t>
  </si>
  <si>
    <t>xxxx</t>
  </si>
  <si>
    <t>xxxxx</t>
  </si>
  <si>
    <t>Bank 9</t>
  </si>
  <si>
    <t>Gew.Kö.St.</t>
  </si>
  <si>
    <t>xxxxxx</t>
  </si>
  <si>
    <t>Bank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</si>
</sst>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/mm/yy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 applyAlignment="1">
      <alignment horizontal="center"/>
    </xf>
    <xf numFmtId="164" fontId="4" fillId="2" borderId="0" xfId="0" applyNumberFormat="1" applyFont="1" applyFill="1"/>
    <xf numFmtId="164" fontId="0" fillId="2" borderId="0" xfId="0" applyNumberFormat="1" applyFill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4" fontId="0" fillId="3" borderId="0" xfId="0" applyNumberFormat="1" applyFill="1"/>
    <xf numFmtId="164" fontId="0" fillId="0" borderId="0" xfId="0" applyNumberFormat="1" applyAlignment="1">
      <alignment horizontal="right"/>
    </xf>
    <xf numFmtId="164" fontId="0" fillId="0" borderId="2" xfId="0" applyNumberFormat="1" applyBorder="1"/>
    <xf numFmtId="164" fontId="0" fillId="0" borderId="3" xfId="0" applyNumberFormat="1" applyBorder="1"/>
    <xf numFmtId="164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" fontId="1" fillId="3" borderId="0" xfId="0" applyNumberFormat="1" applyFont="1" applyFill="1" applyAlignment="1">
      <alignment horizontal="left"/>
    </xf>
    <xf numFmtId="1" fontId="0" fillId="0" borderId="0" xfId="0" applyNumberFormat="1"/>
    <xf numFmtId="164" fontId="1" fillId="4" borderId="0" xfId="0" applyNumberFormat="1" applyFont="1" applyFill="1"/>
    <xf numFmtId="164" fontId="0" fillId="4" borderId="0" xfId="0" applyNumberFormat="1" applyFill="1"/>
    <xf numFmtId="165" fontId="0" fillId="0" borderId="0" xfId="0" applyNumberFormat="1"/>
    <xf numFmtId="1" fontId="4" fillId="2" borderId="0" xfId="0" applyNumberFormat="1" applyFont="1" applyFill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0" borderId="0" xfId="0" applyNumberFormat="1" applyFont="1"/>
    <xf numFmtId="1" fontId="1" fillId="4" borderId="0" xfId="0" applyNumberFormat="1" applyFont="1" applyFill="1"/>
    <xf numFmtId="164" fontId="1" fillId="3" borderId="0" xfId="0" applyNumberFormat="1" applyFont="1" applyFill="1"/>
    <xf numFmtId="164" fontId="5" fillId="3" borderId="0" xfId="0" applyNumberFormat="1" applyFont="1" applyFill="1"/>
    <xf numFmtId="164" fontId="1" fillId="4" borderId="0" xfId="0" applyNumberFormat="1" applyFont="1" applyFill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4626-3796-4FAB-B096-1E9366F40838}">
  <sheetPr codeName="Tabelle1">
    <pageSetUpPr fitToPage="1"/>
  </sheetPr>
  <dimension ref="A1:O90"/>
  <sheetViews>
    <sheetView tabSelected="1" zoomScaleNormal="100" workbookViewId="0">
      <selection activeCell="G4" sqref="G4:N4"/>
    </sheetView>
  </sheetViews>
  <sheetFormatPr baseColWidth="10" defaultColWidth="11.44140625" defaultRowHeight="13.2" x14ac:dyDescent="0.25"/>
  <cols>
    <col min="1" max="2" width="3.88671875" style="4" customWidth="1"/>
    <col min="3" max="3" width="28.33203125" style="4" customWidth="1"/>
    <col min="4" max="4" width="15" style="4" customWidth="1"/>
    <col min="5" max="5" width="11.44140625" style="4"/>
    <col min="6" max="6" width="4.5546875" style="4" customWidth="1"/>
    <col min="7" max="16384" width="11.44140625" style="4"/>
  </cols>
  <sheetData>
    <row r="1" spans="1:15" ht="17.399999999999999" x14ac:dyDescent="0.3">
      <c r="A1" s="2" t="s">
        <v>15</v>
      </c>
      <c r="B1" s="3"/>
      <c r="C1" s="3"/>
      <c r="D1" s="3"/>
      <c r="G1" s="19"/>
    </row>
    <row r="2" spans="1:15" s="5" customFormat="1" x14ac:dyDescent="0.25">
      <c r="G2" s="5" t="s">
        <v>19</v>
      </c>
    </row>
    <row r="3" spans="1:15" s="5" customFormat="1" x14ac:dyDescent="0.25">
      <c r="E3" s="5" t="s">
        <v>17</v>
      </c>
      <c r="G3" s="5" t="s">
        <v>140</v>
      </c>
      <c r="H3" s="5" t="s">
        <v>141</v>
      </c>
      <c r="I3" s="5" t="s">
        <v>142</v>
      </c>
      <c r="J3" s="5" t="s">
        <v>143</v>
      </c>
      <c r="K3" s="5" t="s">
        <v>144</v>
      </c>
      <c r="L3" s="5" t="s">
        <v>145</v>
      </c>
      <c r="M3" s="5" t="s">
        <v>146</v>
      </c>
      <c r="N3" s="5" t="s">
        <v>147</v>
      </c>
      <c r="O3" s="5" t="s">
        <v>25</v>
      </c>
    </row>
    <row r="4" spans="1:15" s="5" customFormat="1" x14ac:dyDescent="0.25">
      <c r="E4" s="5" t="s">
        <v>18</v>
      </c>
      <c r="O4" s="5" t="s">
        <v>26</v>
      </c>
    </row>
    <row r="5" spans="1:15" s="5" customFormat="1" x14ac:dyDescent="0.25">
      <c r="D5" s="5" t="s">
        <v>1</v>
      </c>
      <c r="E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</row>
    <row r="6" spans="1:15" x14ac:dyDescent="0.25">
      <c r="A6" s="7" t="s">
        <v>135</v>
      </c>
    </row>
    <row r="8" spans="1:15" x14ac:dyDescent="0.25">
      <c r="A8" s="4" t="s">
        <v>16</v>
      </c>
      <c r="B8" s="4" t="s">
        <v>140</v>
      </c>
      <c r="D8" s="16"/>
      <c r="E8" s="9">
        <v>550</v>
      </c>
      <c r="G8" s="4">
        <f>+E8</f>
        <v>550</v>
      </c>
      <c r="O8" s="4">
        <f t="shared" ref="O8:O15" si="0">SUM(G8:N8)</f>
        <v>550</v>
      </c>
    </row>
    <row r="9" spans="1:15" x14ac:dyDescent="0.25">
      <c r="A9" s="4" t="s">
        <v>20</v>
      </c>
      <c r="B9" s="4" t="s">
        <v>141</v>
      </c>
      <c r="D9" s="16"/>
      <c r="E9" s="9"/>
      <c r="H9" s="4">
        <f>+E9</f>
        <v>0</v>
      </c>
      <c r="O9" s="4">
        <f t="shared" si="0"/>
        <v>0</v>
      </c>
    </row>
    <row r="10" spans="1:15" x14ac:dyDescent="0.25">
      <c r="A10" s="4" t="s">
        <v>21</v>
      </c>
      <c r="B10" s="4" t="s">
        <v>142</v>
      </c>
      <c r="D10" s="16"/>
      <c r="E10" s="9">
        <v>340.9</v>
      </c>
      <c r="I10" s="4">
        <f>+E10</f>
        <v>340.9</v>
      </c>
      <c r="O10" s="4">
        <f t="shared" si="0"/>
        <v>340.9</v>
      </c>
    </row>
    <row r="11" spans="1:15" x14ac:dyDescent="0.25">
      <c r="A11" s="4" t="s">
        <v>22</v>
      </c>
      <c r="B11" s="4" t="s">
        <v>143</v>
      </c>
      <c r="D11" s="16"/>
      <c r="E11" s="9">
        <v>227.3</v>
      </c>
      <c r="J11" s="4">
        <f>+E11</f>
        <v>227.3</v>
      </c>
      <c r="O11" s="4">
        <f t="shared" si="0"/>
        <v>227.3</v>
      </c>
    </row>
    <row r="12" spans="1:15" x14ac:dyDescent="0.25">
      <c r="A12" s="4" t="s">
        <v>23</v>
      </c>
      <c r="B12" s="4" t="s">
        <v>144</v>
      </c>
      <c r="D12" s="16"/>
      <c r="E12" s="9">
        <v>97.1</v>
      </c>
      <c r="K12" s="4">
        <f>+E12</f>
        <v>97.1</v>
      </c>
      <c r="O12" s="4">
        <f t="shared" si="0"/>
        <v>97.1</v>
      </c>
    </row>
    <row r="13" spans="1:15" x14ac:dyDescent="0.25">
      <c r="A13" s="4" t="s">
        <v>24</v>
      </c>
      <c r="B13" s="4" t="s">
        <v>145</v>
      </c>
      <c r="D13" s="16"/>
      <c r="E13" s="9"/>
      <c r="L13" s="4">
        <v>0</v>
      </c>
      <c r="O13" s="4">
        <f t="shared" si="0"/>
        <v>0</v>
      </c>
    </row>
    <row r="14" spans="1:15" x14ac:dyDescent="0.25">
      <c r="A14" s="4" t="s">
        <v>32</v>
      </c>
      <c r="B14" s="4" t="s">
        <v>146</v>
      </c>
      <c r="D14" s="16"/>
      <c r="E14" s="9">
        <v>25.6</v>
      </c>
      <c r="M14" s="4">
        <v>25.6</v>
      </c>
      <c r="O14" s="4">
        <f t="shared" si="0"/>
        <v>25.6</v>
      </c>
    </row>
    <row r="15" spans="1:15" x14ac:dyDescent="0.25">
      <c r="A15" s="4" t="s">
        <v>33</v>
      </c>
      <c r="B15" s="4" t="s">
        <v>147</v>
      </c>
      <c r="D15" s="16"/>
      <c r="E15" s="9"/>
      <c r="N15" s="4">
        <v>0</v>
      </c>
      <c r="O15" s="4">
        <f t="shared" si="0"/>
        <v>0</v>
      </c>
    </row>
    <row r="16" spans="1:15" x14ac:dyDescent="0.25">
      <c r="D16" s="16"/>
      <c r="E16" s="11">
        <f>SUM(E8:E15)</f>
        <v>1240.8999999999999</v>
      </c>
      <c r="G16" s="11">
        <f t="shared" ref="G16:O16" si="1">SUM(G8:G15)</f>
        <v>550</v>
      </c>
      <c r="H16" s="11">
        <f t="shared" si="1"/>
        <v>0</v>
      </c>
      <c r="I16" s="11">
        <f t="shared" si="1"/>
        <v>340.9</v>
      </c>
      <c r="J16" s="11">
        <f t="shared" si="1"/>
        <v>227.3</v>
      </c>
      <c r="K16" s="11">
        <f t="shared" si="1"/>
        <v>97.1</v>
      </c>
      <c r="L16" s="11">
        <f t="shared" si="1"/>
        <v>0</v>
      </c>
      <c r="M16" s="11">
        <f t="shared" si="1"/>
        <v>25.6</v>
      </c>
      <c r="N16" s="11">
        <f t="shared" si="1"/>
        <v>0</v>
      </c>
      <c r="O16" s="11">
        <f t="shared" si="1"/>
        <v>1240.8999999999999</v>
      </c>
    </row>
    <row r="17" spans="1:15" x14ac:dyDescent="0.25">
      <c r="D17" s="16"/>
    </row>
    <row r="18" spans="1:15" x14ac:dyDescent="0.25">
      <c r="A18" s="7" t="s">
        <v>136</v>
      </c>
      <c r="D18" s="16"/>
    </row>
    <row r="19" spans="1:15" x14ac:dyDescent="0.25">
      <c r="D19" s="16"/>
    </row>
    <row r="20" spans="1:15" x14ac:dyDescent="0.25">
      <c r="A20" s="4" t="s">
        <v>16</v>
      </c>
      <c r="B20" s="4" t="s">
        <v>140</v>
      </c>
      <c r="D20" s="16"/>
      <c r="E20" s="9">
        <v>0</v>
      </c>
      <c r="G20" s="4">
        <f>+E20</f>
        <v>0</v>
      </c>
      <c r="O20" s="4">
        <f t="shared" ref="O20:O27" si="2">SUM(G20:N20)</f>
        <v>0</v>
      </c>
    </row>
    <row r="21" spans="1:15" x14ac:dyDescent="0.25">
      <c r="A21" s="4" t="s">
        <v>20</v>
      </c>
      <c r="B21" s="4" t="s">
        <v>141</v>
      </c>
      <c r="D21" s="16"/>
      <c r="E21" s="9">
        <v>481.8</v>
      </c>
      <c r="H21" s="4">
        <f>+E21</f>
        <v>481.8</v>
      </c>
      <c r="O21" s="4">
        <f t="shared" si="2"/>
        <v>481.8</v>
      </c>
    </row>
    <row r="22" spans="1:15" x14ac:dyDescent="0.25">
      <c r="A22" s="4" t="s">
        <v>21</v>
      </c>
      <c r="B22" s="4" t="s">
        <v>142</v>
      </c>
      <c r="D22" s="16"/>
      <c r="E22" s="9"/>
      <c r="I22" s="4">
        <f>+E22</f>
        <v>0</v>
      </c>
      <c r="O22" s="4">
        <f t="shared" si="2"/>
        <v>0</v>
      </c>
    </row>
    <row r="23" spans="1:15" x14ac:dyDescent="0.25">
      <c r="A23" s="4" t="s">
        <v>22</v>
      </c>
      <c r="B23" s="4" t="s">
        <v>143</v>
      </c>
      <c r="D23" s="16"/>
      <c r="E23" s="9"/>
      <c r="J23" s="4">
        <f>+E23</f>
        <v>0</v>
      </c>
      <c r="O23" s="4">
        <f t="shared" si="2"/>
        <v>0</v>
      </c>
    </row>
    <row r="24" spans="1:15" x14ac:dyDescent="0.25">
      <c r="A24" s="4" t="s">
        <v>23</v>
      </c>
      <c r="B24" s="4" t="s">
        <v>144</v>
      </c>
      <c r="D24" s="16"/>
      <c r="E24" s="9">
        <v>0</v>
      </c>
      <c r="K24" s="4">
        <f>+E24</f>
        <v>0</v>
      </c>
      <c r="O24" s="4">
        <f t="shared" si="2"/>
        <v>0</v>
      </c>
    </row>
    <row r="25" spans="1:15" x14ac:dyDescent="0.25">
      <c r="A25" s="4" t="s">
        <v>24</v>
      </c>
      <c r="B25" s="4" t="s">
        <v>145</v>
      </c>
      <c r="D25" s="16"/>
      <c r="E25" s="9"/>
      <c r="L25" s="4">
        <v>0</v>
      </c>
      <c r="O25" s="4">
        <f t="shared" si="2"/>
        <v>0</v>
      </c>
    </row>
    <row r="26" spans="1:15" x14ac:dyDescent="0.25">
      <c r="A26" s="4" t="s">
        <v>32</v>
      </c>
      <c r="B26" s="4" t="s">
        <v>146</v>
      </c>
      <c r="D26" s="16"/>
      <c r="E26" s="9"/>
      <c r="M26" s="4">
        <v>0</v>
      </c>
      <c r="O26" s="4">
        <f t="shared" si="2"/>
        <v>0</v>
      </c>
    </row>
    <row r="27" spans="1:15" x14ac:dyDescent="0.25">
      <c r="A27" s="4" t="s">
        <v>33</v>
      </c>
      <c r="B27" s="4" t="s">
        <v>147</v>
      </c>
      <c r="D27" s="16"/>
      <c r="E27" s="9"/>
      <c r="N27" s="4">
        <v>0</v>
      </c>
      <c r="O27" s="4">
        <f t="shared" si="2"/>
        <v>0</v>
      </c>
    </row>
    <row r="28" spans="1:15" x14ac:dyDescent="0.25">
      <c r="D28" s="16"/>
      <c r="E28" s="11">
        <f>SUM(E20:E25)</f>
        <v>481.8</v>
      </c>
      <c r="G28" s="11">
        <f t="shared" ref="G28:O28" si="3">SUM(G20:G25)</f>
        <v>0</v>
      </c>
      <c r="H28" s="11">
        <f t="shared" si="3"/>
        <v>481.8</v>
      </c>
      <c r="I28" s="11">
        <f t="shared" si="3"/>
        <v>0</v>
      </c>
      <c r="J28" s="11">
        <f t="shared" si="3"/>
        <v>0</v>
      </c>
      <c r="K28" s="11">
        <f t="shared" si="3"/>
        <v>0</v>
      </c>
      <c r="L28" s="11">
        <f t="shared" si="3"/>
        <v>0</v>
      </c>
      <c r="M28" s="11">
        <f t="shared" si="3"/>
        <v>0</v>
      </c>
      <c r="N28" s="11">
        <f t="shared" si="3"/>
        <v>0</v>
      </c>
      <c r="O28" s="11">
        <f t="shared" si="3"/>
        <v>481.8</v>
      </c>
    </row>
    <row r="29" spans="1:15" x14ac:dyDescent="0.25">
      <c r="D29" s="16"/>
    </row>
    <row r="30" spans="1:15" x14ac:dyDescent="0.25">
      <c r="A30" s="7" t="s">
        <v>137</v>
      </c>
      <c r="D30" s="16"/>
    </row>
    <row r="31" spans="1:15" x14ac:dyDescent="0.25">
      <c r="D31" s="16"/>
    </row>
    <row r="32" spans="1:15" x14ac:dyDescent="0.25">
      <c r="A32" s="4" t="s">
        <v>16</v>
      </c>
      <c r="B32" s="4" t="s">
        <v>140</v>
      </c>
      <c r="D32" s="16"/>
      <c r="E32" s="9">
        <v>50</v>
      </c>
      <c r="G32" s="4">
        <f>+E32</f>
        <v>50</v>
      </c>
      <c r="O32" s="4">
        <f t="shared" ref="O32:O39" si="4">SUM(G32:N32)</f>
        <v>50</v>
      </c>
    </row>
    <row r="33" spans="1:15" x14ac:dyDescent="0.25">
      <c r="A33" s="4" t="s">
        <v>20</v>
      </c>
      <c r="B33" s="4" t="s">
        <v>141</v>
      </c>
      <c r="D33" s="16"/>
      <c r="E33" s="9">
        <v>200</v>
      </c>
      <c r="H33" s="4">
        <f>+E33</f>
        <v>200</v>
      </c>
      <c r="O33" s="4">
        <f t="shared" si="4"/>
        <v>200</v>
      </c>
    </row>
    <row r="34" spans="1:15" x14ac:dyDescent="0.25">
      <c r="A34" s="4" t="s">
        <v>21</v>
      </c>
      <c r="B34" s="4" t="s">
        <v>142</v>
      </c>
      <c r="D34" s="16"/>
      <c r="E34" s="9"/>
      <c r="I34" s="4">
        <f>+E34</f>
        <v>0</v>
      </c>
      <c r="O34" s="4">
        <f t="shared" si="4"/>
        <v>0</v>
      </c>
    </row>
    <row r="35" spans="1:15" x14ac:dyDescent="0.25">
      <c r="A35" s="4" t="s">
        <v>22</v>
      </c>
      <c r="B35" s="4" t="s">
        <v>143</v>
      </c>
      <c r="D35" s="16"/>
      <c r="E35" s="9"/>
      <c r="J35" s="4">
        <f>+E35</f>
        <v>0</v>
      </c>
      <c r="O35" s="4">
        <f t="shared" si="4"/>
        <v>0</v>
      </c>
    </row>
    <row r="36" spans="1:15" x14ac:dyDescent="0.25">
      <c r="A36" s="4" t="s">
        <v>23</v>
      </c>
      <c r="B36" s="4" t="s">
        <v>144</v>
      </c>
      <c r="D36" s="16"/>
      <c r="E36" s="9">
        <v>0</v>
      </c>
      <c r="K36" s="4">
        <f>+E36</f>
        <v>0</v>
      </c>
      <c r="O36" s="4">
        <f t="shared" si="4"/>
        <v>0</v>
      </c>
    </row>
    <row r="37" spans="1:15" x14ac:dyDescent="0.25">
      <c r="A37" s="4" t="s">
        <v>24</v>
      </c>
      <c r="B37" s="4" t="s">
        <v>145</v>
      </c>
      <c r="D37" s="16"/>
      <c r="E37" s="9">
        <v>50</v>
      </c>
      <c r="L37" s="4">
        <v>50</v>
      </c>
      <c r="O37" s="4">
        <f t="shared" si="4"/>
        <v>50</v>
      </c>
    </row>
    <row r="38" spans="1:15" x14ac:dyDescent="0.25">
      <c r="A38" s="4" t="s">
        <v>32</v>
      </c>
      <c r="B38" s="4" t="s">
        <v>146</v>
      </c>
      <c r="D38" s="16"/>
      <c r="E38" s="9">
        <v>0</v>
      </c>
      <c r="M38" s="4">
        <v>0</v>
      </c>
      <c r="O38" s="4">
        <f t="shared" si="4"/>
        <v>0</v>
      </c>
    </row>
    <row r="39" spans="1:15" x14ac:dyDescent="0.25">
      <c r="A39" s="4" t="s">
        <v>33</v>
      </c>
      <c r="B39" s="4" t="s">
        <v>147</v>
      </c>
      <c r="D39" s="16"/>
      <c r="E39" s="9"/>
      <c r="N39" s="4">
        <v>0</v>
      </c>
      <c r="O39" s="4">
        <f t="shared" si="4"/>
        <v>0</v>
      </c>
    </row>
    <row r="40" spans="1:15" x14ac:dyDescent="0.25">
      <c r="D40" s="16"/>
      <c r="E40" s="11">
        <f>SUM(E32:E37)</f>
        <v>300</v>
      </c>
      <c r="G40" s="11">
        <f t="shared" ref="G40:O40" si="5">SUM(G32:G37)</f>
        <v>50</v>
      </c>
      <c r="H40" s="11">
        <f t="shared" si="5"/>
        <v>200</v>
      </c>
      <c r="I40" s="11">
        <f t="shared" si="5"/>
        <v>0</v>
      </c>
      <c r="J40" s="11">
        <f t="shared" si="5"/>
        <v>0</v>
      </c>
      <c r="K40" s="11">
        <f t="shared" si="5"/>
        <v>0</v>
      </c>
      <c r="L40" s="11">
        <f t="shared" si="5"/>
        <v>50</v>
      </c>
      <c r="M40" s="11">
        <f t="shared" si="5"/>
        <v>0</v>
      </c>
      <c r="N40" s="11">
        <f t="shared" si="5"/>
        <v>0</v>
      </c>
      <c r="O40" s="11">
        <f t="shared" si="5"/>
        <v>300</v>
      </c>
    </row>
    <row r="41" spans="1:15" x14ac:dyDescent="0.25">
      <c r="D41" s="16"/>
    </row>
    <row r="42" spans="1:15" x14ac:dyDescent="0.25">
      <c r="A42" s="7" t="s">
        <v>138</v>
      </c>
      <c r="D42" s="16"/>
    </row>
    <row r="43" spans="1:15" x14ac:dyDescent="0.25">
      <c r="D43" s="16"/>
    </row>
    <row r="44" spans="1:15" x14ac:dyDescent="0.25">
      <c r="A44" s="4" t="s">
        <v>16</v>
      </c>
      <c r="B44" s="4" t="s">
        <v>140</v>
      </c>
      <c r="D44" s="16"/>
      <c r="E44" s="9">
        <v>500</v>
      </c>
      <c r="G44" s="4">
        <f>+E44</f>
        <v>500</v>
      </c>
      <c r="O44" s="4">
        <f t="shared" ref="O44:O51" si="6">SUM(G44:N44)</f>
        <v>500</v>
      </c>
    </row>
    <row r="45" spans="1:15" x14ac:dyDescent="0.25">
      <c r="A45" s="4" t="s">
        <v>20</v>
      </c>
      <c r="B45" s="4" t="s">
        <v>141</v>
      </c>
      <c r="D45" s="16"/>
      <c r="E45" s="9"/>
      <c r="H45" s="4">
        <f>+E45</f>
        <v>0</v>
      </c>
      <c r="O45" s="4">
        <f t="shared" si="6"/>
        <v>0</v>
      </c>
    </row>
    <row r="46" spans="1:15" x14ac:dyDescent="0.25">
      <c r="A46" s="4" t="s">
        <v>21</v>
      </c>
      <c r="B46" s="4" t="s">
        <v>142</v>
      </c>
      <c r="D46" s="16"/>
      <c r="E46" s="9"/>
      <c r="I46" s="4">
        <f>+E46</f>
        <v>0</v>
      </c>
      <c r="O46" s="4">
        <f t="shared" si="6"/>
        <v>0</v>
      </c>
    </row>
    <row r="47" spans="1:15" x14ac:dyDescent="0.25">
      <c r="A47" s="4" t="s">
        <v>22</v>
      </c>
      <c r="B47" s="4" t="s">
        <v>143</v>
      </c>
      <c r="D47" s="16"/>
      <c r="E47" s="9"/>
      <c r="J47" s="4">
        <f>+E47</f>
        <v>0</v>
      </c>
      <c r="O47" s="4">
        <f t="shared" si="6"/>
        <v>0</v>
      </c>
    </row>
    <row r="48" spans="1:15" x14ac:dyDescent="0.25">
      <c r="A48" s="4" t="s">
        <v>23</v>
      </c>
      <c r="B48" s="4" t="s">
        <v>144</v>
      </c>
      <c r="D48" s="16"/>
      <c r="E48" s="9"/>
      <c r="K48" s="4">
        <f>+E48</f>
        <v>0</v>
      </c>
      <c r="O48" s="4">
        <f t="shared" si="6"/>
        <v>0</v>
      </c>
    </row>
    <row r="49" spans="1:15" x14ac:dyDescent="0.25">
      <c r="A49" s="4" t="s">
        <v>24</v>
      </c>
      <c r="B49" s="4" t="s">
        <v>145</v>
      </c>
      <c r="D49" s="16"/>
      <c r="E49" s="9"/>
      <c r="L49" s="4">
        <v>0</v>
      </c>
      <c r="O49" s="4">
        <f t="shared" si="6"/>
        <v>0</v>
      </c>
    </row>
    <row r="50" spans="1:15" x14ac:dyDescent="0.25">
      <c r="A50" s="4" t="s">
        <v>32</v>
      </c>
      <c r="B50" s="4" t="s">
        <v>146</v>
      </c>
      <c r="D50" s="16"/>
      <c r="E50" s="9"/>
      <c r="M50" s="4">
        <v>0</v>
      </c>
      <c r="O50" s="4">
        <f t="shared" si="6"/>
        <v>0</v>
      </c>
    </row>
    <row r="51" spans="1:15" x14ac:dyDescent="0.25">
      <c r="A51" s="4" t="s">
        <v>33</v>
      </c>
      <c r="B51" s="4" t="s">
        <v>147</v>
      </c>
      <c r="D51" s="16"/>
      <c r="E51" s="9">
        <v>0</v>
      </c>
      <c r="N51" s="4">
        <v>0</v>
      </c>
      <c r="O51" s="4">
        <f t="shared" si="6"/>
        <v>0</v>
      </c>
    </row>
    <row r="52" spans="1:15" x14ac:dyDescent="0.25">
      <c r="D52" s="16"/>
      <c r="E52" s="11">
        <f>SUM(E44:E49)</f>
        <v>500</v>
      </c>
      <c r="G52" s="11">
        <f t="shared" ref="G52:O52" si="7">SUM(G44:G49)</f>
        <v>500</v>
      </c>
      <c r="H52" s="11">
        <f t="shared" si="7"/>
        <v>0</v>
      </c>
      <c r="I52" s="11">
        <f t="shared" si="7"/>
        <v>0</v>
      </c>
      <c r="J52" s="11">
        <f t="shared" si="7"/>
        <v>0</v>
      </c>
      <c r="K52" s="11">
        <f t="shared" si="7"/>
        <v>0</v>
      </c>
      <c r="L52" s="11">
        <f>SUM(L44:L49)</f>
        <v>0</v>
      </c>
      <c r="M52" s="11">
        <f>SUM(M44:M49)</f>
        <v>0</v>
      </c>
      <c r="N52" s="11">
        <f t="shared" si="7"/>
        <v>0</v>
      </c>
      <c r="O52" s="11">
        <f t="shared" si="7"/>
        <v>500</v>
      </c>
    </row>
    <row r="53" spans="1:15" x14ac:dyDescent="0.25">
      <c r="D53" s="16"/>
    </row>
    <row r="54" spans="1:15" x14ac:dyDescent="0.25">
      <c r="A54" s="7" t="s">
        <v>139</v>
      </c>
      <c r="D54" s="16"/>
    </row>
    <row r="55" spans="1:15" x14ac:dyDescent="0.25">
      <c r="D55" s="16"/>
    </row>
    <row r="56" spans="1:15" x14ac:dyDescent="0.25">
      <c r="A56" s="4" t="s">
        <v>16</v>
      </c>
      <c r="B56" s="4" t="s">
        <v>140</v>
      </c>
      <c r="D56" s="16"/>
      <c r="E56" s="9">
        <v>150</v>
      </c>
      <c r="G56" s="4">
        <f>+E56</f>
        <v>150</v>
      </c>
      <c r="O56" s="4">
        <f t="shared" ref="O56:O64" si="8">SUM(G56:N56)</f>
        <v>150</v>
      </c>
    </row>
    <row r="57" spans="1:15" x14ac:dyDescent="0.25">
      <c r="A57" s="4" t="s">
        <v>20</v>
      </c>
      <c r="B57" s="4" t="s">
        <v>141</v>
      </c>
      <c r="D57" s="16"/>
      <c r="E57" s="9"/>
      <c r="H57" s="4">
        <f>+E57</f>
        <v>0</v>
      </c>
      <c r="O57" s="4">
        <f t="shared" si="8"/>
        <v>0</v>
      </c>
    </row>
    <row r="58" spans="1:15" x14ac:dyDescent="0.25">
      <c r="A58" s="4" t="s">
        <v>21</v>
      </c>
      <c r="B58" s="4" t="s">
        <v>142</v>
      </c>
      <c r="D58" s="16"/>
      <c r="E58" s="9"/>
      <c r="I58" s="4">
        <f>+E58</f>
        <v>0</v>
      </c>
      <c r="O58" s="4">
        <f t="shared" si="8"/>
        <v>0</v>
      </c>
    </row>
    <row r="59" spans="1:15" x14ac:dyDescent="0.25">
      <c r="A59" s="4" t="s">
        <v>22</v>
      </c>
      <c r="B59" s="4" t="s">
        <v>143</v>
      </c>
      <c r="D59" s="16"/>
      <c r="E59" s="9">
        <v>0</v>
      </c>
      <c r="J59" s="4">
        <f>+E59</f>
        <v>0</v>
      </c>
      <c r="O59" s="4">
        <f t="shared" si="8"/>
        <v>0</v>
      </c>
    </row>
    <row r="60" spans="1:15" x14ac:dyDescent="0.25">
      <c r="A60" s="4" t="s">
        <v>23</v>
      </c>
      <c r="B60" s="4" t="s">
        <v>144</v>
      </c>
      <c r="D60" s="16"/>
      <c r="E60" s="9"/>
      <c r="K60" s="4">
        <f>+E60</f>
        <v>0</v>
      </c>
      <c r="O60" s="4">
        <f t="shared" si="8"/>
        <v>0</v>
      </c>
    </row>
    <row r="61" spans="1:15" x14ac:dyDescent="0.25">
      <c r="A61" s="4" t="s">
        <v>24</v>
      </c>
      <c r="B61" s="4" t="s">
        <v>145</v>
      </c>
      <c r="D61" s="16"/>
      <c r="E61" s="9"/>
      <c r="L61" s="4">
        <v>0</v>
      </c>
      <c r="O61" s="4">
        <f t="shared" si="8"/>
        <v>0</v>
      </c>
    </row>
    <row r="62" spans="1:15" x14ac:dyDescent="0.25">
      <c r="A62" s="4" t="s">
        <v>32</v>
      </c>
      <c r="B62" s="4" t="s">
        <v>146</v>
      </c>
      <c r="D62" s="16"/>
      <c r="E62" s="9"/>
      <c r="M62" s="4">
        <v>0</v>
      </c>
      <c r="O62" s="4">
        <f t="shared" si="8"/>
        <v>0</v>
      </c>
    </row>
    <row r="63" spans="1:15" x14ac:dyDescent="0.25">
      <c r="A63" s="4" t="s">
        <v>33</v>
      </c>
      <c r="B63" s="4" t="s">
        <v>147</v>
      </c>
      <c r="D63" s="16"/>
      <c r="E63" s="9"/>
      <c r="O63" s="4">
        <f t="shared" si="8"/>
        <v>0</v>
      </c>
    </row>
    <row r="64" spans="1:15" x14ac:dyDescent="0.25">
      <c r="B64" s="4" t="s">
        <v>152</v>
      </c>
      <c r="D64" s="16"/>
      <c r="E64" s="9">
        <v>0</v>
      </c>
      <c r="N64" s="4">
        <v>0</v>
      </c>
      <c r="O64" s="4">
        <f t="shared" si="8"/>
        <v>0</v>
      </c>
    </row>
    <row r="65" spans="1:15" x14ac:dyDescent="0.25">
      <c r="D65" s="16"/>
      <c r="E65" s="11">
        <f>SUM(E56:E61)</f>
        <v>150</v>
      </c>
      <c r="G65" s="11">
        <f t="shared" ref="G65:O65" si="9">SUM(G56:G61)</f>
        <v>150</v>
      </c>
      <c r="H65" s="11">
        <f t="shared" si="9"/>
        <v>0</v>
      </c>
      <c r="I65" s="11">
        <f t="shared" si="9"/>
        <v>0</v>
      </c>
      <c r="J65" s="11">
        <f t="shared" si="9"/>
        <v>0</v>
      </c>
      <c r="K65" s="11">
        <f t="shared" si="9"/>
        <v>0</v>
      </c>
      <c r="L65" s="11">
        <f>SUM(L56:L61)</f>
        <v>0</v>
      </c>
      <c r="M65" s="11">
        <f>SUM(M56:M61)</f>
        <v>0</v>
      </c>
      <c r="N65" s="11">
        <f t="shared" si="9"/>
        <v>0</v>
      </c>
      <c r="O65" s="11">
        <f t="shared" si="9"/>
        <v>150</v>
      </c>
    </row>
    <row r="66" spans="1:15" x14ac:dyDescent="0.25">
      <c r="D66" s="16"/>
    </row>
    <row r="67" spans="1:15" x14ac:dyDescent="0.25">
      <c r="A67" s="7" t="s">
        <v>27</v>
      </c>
      <c r="D67" s="16"/>
    </row>
    <row r="68" spans="1:15" x14ac:dyDescent="0.25">
      <c r="D68" s="16"/>
    </row>
    <row r="69" spans="1:15" x14ac:dyDescent="0.25">
      <c r="A69" s="4" t="s">
        <v>16</v>
      </c>
      <c r="B69" s="4" t="s">
        <v>140</v>
      </c>
      <c r="D69" s="16"/>
      <c r="E69" s="4">
        <f>+E8+E20+E32+E44+E56+E64</f>
        <v>1250</v>
      </c>
      <c r="G69" s="4">
        <f>+G8+G20+G32+G44+G56+G64</f>
        <v>1250</v>
      </c>
      <c r="H69" s="4">
        <f t="shared" ref="H69:N69" si="10">+H8+H20+H32+H44+H56+H64</f>
        <v>0</v>
      </c>
      <c r="I69" s="4">
        <f t="shared" si="10"/>
        <v>0</v>
      </c>
      <c r="J69" s="4">
        <f t="shared" si="10"/>
        <v>0</v>
      </c>
      <c r="K69" s="4">
        <f t="shared" si="10"/>
        <v>0</v>
      </c>
      <c r="L69" s="4">
        <f t="shared" si="10"/>
        <v>0</v>
      </c>
      <c r="M69" s="4">
        <f t="shared" si="10"/>
        <v>0</v>
      </c>
      <c r="N69" s="4">
        <f t="shared" si="10"/>
        <v>0</v>
      </c>
      <c r="O69" s="4">
        <f>SUM(G69:N69)</f>
        <v>1250</v>
      </c>
    </row>
    <row r="70" spans="1:15" x14ac:dyDescent="0.25">
      <c r="A70" s="4" t="s">
        <v>20</v>
      </c>
      <c r="B70" s="4" t="s">
        <v>141</v>
      </c>
      <c r="D70" s="16"/>
      <c r="E70" s="4">
        <f t="shared" ref="E70:G76" si="11">+E9+E21+E33+E45+E57</f>
        <v>681.8</v>
      </c>
      <c r="G70" s="4">
        <f t="shared" si="11"/>
        <v>0</v>
      </c>
      <c r="H70" s="4">
        <f t="shared" ref="H70:N70" si="12">+H9+H21+H33+H45+H57</f>
        <v>681.8</v>
      </c>
      <c r="I70" s="4">
        <f t="shared" si="12"/>
        <v>0</v>
      </c>
      <c r="J70" s="4">
        <f t="shared" si="12"/>
        <v>0</v>
      </c>
      <c r="K70" s="4">
        <f t="shared" si="12"/>
        <v>0</v>
      </c>
      <c r="L70" s="4">
        <f t="shared" si="12"/>
        <v>0</v>
      </c>
      <c r="M70" s="4">
        <f t="shared" si="12"/>
        <v>0</v>
      </c>
      <c r="N70" s="4">
        <f t="shared" si="12"/>
        <v>0</v>
      </c>
      <c r="O70" s="4">
        <f t="shared" ref="O70:O76" si="13">SUM(G70:N70)</f>
        <v>681.8</v>
      </c>
    </row>
    <row r="71" spans="1:15" x14ac:dyDescent="0.25">
      <c r="A71" s="4" t="s">
        <v>21</v>
      </c>
      <c r="B71" s="4" t="s">
        <v>142</v>
      </c>
      <c r="D71" s="16"/>
      <c r="E71" s="4">
        <f t="shared" si="11"/>
        <v>340.9</v>
      </c>
      <c r="G71" s="4">
        <f t="shared" si="11"/>
        <v>0</v>
      </c>
      <c r="H71" s="4">
        <f t="shared" ref="H71:N71" si="14">+H10+H22+H34+H46+H58</f>
        <v>0</v>
      </c>
      <c r="I71" s="4">
        <f t="shared" si="14"/>
        <v>340.9</v>
      </c>
      <c r="J71" s="4">
        <f t="shared" si="14"/>
        <v>0</v>
      </c>
      <c r="K71" s="4">
        <f t="shared" si="14"/>
        <v>0</v>
      </c>
      <c r="L71" s="4">
        <f t="shared" si="14"/>
        <v>0</v>
      </c>
      <c r="M71" s="4">
        <f t="shared" si="14"/>
        <v>0</v>
      </c>
      <c r="N71" s="4">
        <f t="shared" si="14"/>
        <v>0</v>
      </c>
      <c r="O71" s="4">
        <f t="shared" si="13"/>
        <v>340.9</v>
      </c>
    </row>
    <row r="72" spans="1:15" x14ac:dyDescent="0.25">
      <c r="A72" s="4" t="s">
        <v>22</v>
      </c>
      <c r="B72" s="4" t="s">
        <v>143</v>
      </c>
      <c r="D72" s="16"/>
      <c r="E72" s="4">
        <f t="shared" si="11"/>
        <v>227.3</v>
      </c>
      <c r="G72" s="4">
        <f t="shared" si="11"/>
        <v>0</v>
      </c>
      <c r="H72" s="4">
        <f t="shared" ref="H72:N72" si="15">+H11+H23+H35+H47+H59</f>
        <v>0</v>
      </c>
      <c r="I72" s="4">
        <f t="shared" si="15"/>
        <v>0</v>
      </c>
      <c r="J72" s="4">
        <f t="shared" si="15"/>
        <v>227.3</v>
      </c>
      <c r="K72" s="4">
        <f t="shared" si="15"/>
        <v>0</v>
      </c>
      <c r="L72" s="4">
        <f t="shared" si="15"/>
        <v>0</v>
      </c>
      <c r="M72" s="4">
        <f t="shared" si="15"/>
        <v>0</v>
      </c>
      <c r="N72" s="4">
        <f t="shared" si="15"/>
        <v>0</v>
      </c>
      <c r="O72" s="4">
        <f t="shared" si="13"/>
        <v>227.3</v>
      </c>
    </row>
    <row r="73" spans="1:15" x14ac:dyDescent="0.25">
      <c r="A73" s="4" t="s">
        <v>23</v>
      </c>
      <c r="B73" s="4" t="s">
        <v>144</v>
      </c>
      <c r="D73" s="16"/>
      <c r="E73" s="4">
        <f t="shared" si="11"/>
        <v>97.1</v>
      </c>
      <c r="G73" s="4">
        <f t="shared" si="11"/>
        <v>0</v>
      </c>
      <c r="H73" s="4">
        <f t="shared" ref="H73:N73" si="16">+H12+H24+H36+H48+H60</f>
        <v>0</v>
      </c>
      <c r="I73" s="4">
        <f t="shared" si="16"/>
        <v>0</v>
      </c>
      <c r="J73" s="4">
        <f t="shared" si="16"/>
        <v>0</v>
      </c>
      <c r="K73" s="4">
        <f t="shared" si="16"/>
        <v>97.1</v>
      </c>
      <c r="L73" s="4">
        <f t="shared" si="16"/>
        <v>0</v>
      </c>
      <c r="M73" s="4">
        <f t="shared" si="16"/>
        <v>0</v>
      </c>
      <c r="N73" s="4">
        <f t="shared" si="16"/>
        <v>0</v>
      </c>
      <c r="O73" s="4">
        <f t="shared" si="13"/>
        <v>97.1</v>
      </c>
    </row>
    <row r="74" spans="1:15" x14ac:dyDescent="0.25">
      <c r="A74" s="4" t="s">
        <v>24</v>
      </c>
      <c r="B74" s="4" t="s">
        <v>145</v>
      </c>
      <c r="D74" s="16"/>
      <c r="E74" s="4">
        <f t="shared" si="11"/>
        <v>50</v>
      </c>
      <c r="G74" s="4">
        <f t="shared" si="11"/>
        <v>0</v>
      </c>
      <c r="H74" s="4">
        <f t="shared" ref="H74:N74" si="17">+H13+H25+H37+H49+H61</f>
        <v>0</v>
      </c>
      <c r="I74" s="4">
        <f t="shared" si="17"/>
        <v>0</v>
      </c>
      <c r="J74" s="4">
        <f t="shared" si="17"/>
        <v>0</v>
      </c>
      <c r="K74" s="4">
        <f t="shared" si="17"/>
        <v>0</v>
      </c>
      <c r="L74" s="4">
        <f t="shared" si="17"/>
        <v>50</v>
      </c>
      <c r="M74" s="4">
        <f t="shared" si="17"/>
        <v>0</v>
      </c>
      <c r="N74" s="4">
        <f t="shared" si="17"/>
        <v>0</v>
      </c>
      <c r="O74" s="4">
        <f t="shared" si="13"/>
        <v>50</v>
      </c>
    </row>
    <row r="75" spans="1:15" x14ac:dyDescent="0.25">
      <c r="A75" s="4" t="s">
        <v>32</v>
      </c>
      <c r="B75" s="4" t="s">
        <v>146</v>
      </c>
      <c r="D75" s="16"/>
      <c r="E75" s="4">
        <f t="shared" si="11"/>
        <v>25.6</v>
      </c>
      <c r="G75" s="4">
        <f t="shared" si="11"/>
        <v>0</v>
      </c>
      <c r="H75" s="4">
        <f t="shared" ref="H75:N75" si="18">+H14+H26+H38+H50+H62</f>
        <v>0</v>
      </c>
      <c r="I75" s="4">
        <f t="shared" si="18"/>
        <v>0</v>
      </c>
      <c r="J75" s="4">
        <f t="shared" si="18"/>
        <v>0</v>
      </c>
      <c r="K75" s="4">
        <f t="shared" si="18"/>
        <v>0</v>
      </c>
      <c r="L75" s="4">
        <f t="shared" si="18"/>
        <v>0</v>
      </c>
      <c r="M75" s="4">
        <f t="shared" si="18"/>
        <v>25.6</v>
      </c>
      <c r="N75" s="4">
        <f t="shared" si="18"/>
        <v>0</v>
      </c>
      <c r="O75" s="4">
        <f t="shared" si="13"/>
        <v>25.6</v>
      </c>
    </row>
    <row r="76" spans="1:15" x14ac:dyDescent="0.25">
      <c r="A76" s="4" t="s">
        <v>33</v>
      </c>
      <c r="B76" s="4" t="s">
        <v>147</v>
      </c>
      <c r="D76" s="16"/>
      <c r="E76" s="4">
        <f t="shared" si="11"/>
        <v>0</v>
      </c>
      <c r="G76" s="4">
        <f t="shared" si="11"/>
        <v>0</v>
      </c>
      <c r="H76" s="4">
        <f t="shared" ref="H76:N76" si="19">+H15+H27+H39+H51+H63</f>
        <v>0</v>
      </c>
      <c r="I76" s="4">
        <f t="shared" si="19"/>
        <v>0</v>
      </c>
      <c r="J76" s="4">
        <f t="shared" si="19"/>
        <v>0</v>
      </c>
      <c r="K76" s="4">
        <f t="shared" si="19"/>
        <v>0</v>
      </c>
      <c r="L76" s="4">
        <f t="shared" si="19"/>
        <v>0</v>
      </c>
      <c r="M76" s="4">
        <f t="shared" si="19"/>
        <v>0</v>
      </c>
      <c r="N76" s="4">
        <f t="shared" si="19"/>
        <v>0</v>
      </c>
      <c r="O76" s="4">
        <f t="shared" si="13"/>
        <v>0</v>
      </c>
    </row>
    <row r="77" spans="1:15" ht="13.8" thickBot="1" x14ac:dyDescent="0.3">
      <c r="D77" s="16"/>
      <c r="E77" s="12">
        <f>SUM(E69:E76)</f>
        <v>2672.7</v>
      </c>
      <c r="G77" s="12">
        <f>SUM(G69:G76)</f>
        <v>1250</v>
      </c>
      <c r="H77" s="12">
        <f t="shared" ref="H77:N77" si="20">SUM(H69:H76)</f>
        <v>681.8</v>
      </c>
      <c r="I77" s="12">
        <f t="shared" si="20"/>
        <v>340.9</v>
      </c>
      <c r="J77" s="12">
        <f t="shared" si="20"/>
        <v>227.3</v>
      </c>
      <c r="K77" s="12">
        <f t="shared" si="20"/>
        <v>97.1</v>
      </c>
      <c r="L77" s="12">
        <f t="shared" si="20"/>
        <v>50</v>
      </c>
      <c r="M77" s="12">
        <f t="shared" si="20"/>
        <v>25.6</v>
      </c>
      <c r="N77" s="12">
        <f t="shared" si="20"/>
        <v>0</v>
      </c>
      <c r="O77" s="12">
        <f>SUM(O69:O76)</f>
        <v>2672.7</v>
      </c>
    </row>
    <row r="78" spans="1:15" ht="13.8" thickTop="1" x14ac:dyDescent="0.25">
      <c r="D78" s="16"/>
    </row>
    <row r="79" spans="1:15" x14ac:dyDescent="0.25">
      <c r="D79" s="16"/>
    </row>
    <row r="80" spans="1:15" x14ac:dyDescent="0.25">
      <c r="D80" s="16"/>
    </row>
    <row r="81" spans="4:4" x14ac:dyDescent="0.25">
      <c r="D81" s="16"/>
    </row>
    <row r="82" spans="4:4" x14ac:dyDescent="0.25">
      <c r="D82" s="16"/>
    </row>
    <row r="83" spans="4:4" x14ac:dyDescent="0.25">
      <c r="D83" s="16"/>
    </row>
    <row r="84" spans="4:4" x14ac:dyDescent="0.25">
      <c r="D84" s="16"/>
    </row>
    <row r="85" spans="4:4" x14ac:dyDescent="0.25">
      <c r="D85" s="16"/>
    </row>
    <row r="86" spans="4:4" x14ac:dyDescent="0.25">
      <c r="D86" s="16"/>
    </row>
    <row r="87" spans="4:4" x14ac:dyDescent="0.25">
      <c r="D87" s="16"/>
    </row>
    <row r="88" spans="4:4" x14ac:dyDescent="0.25">
      <c r="D88" s="16"/>
    </row>
    <row r="89" spans="4:4" x14ac:dyDescent="0.25">
      <c r="D89" s="16"/>
    </row>
    <row r="90" spans="4:4" x14ac:dyDescent="0.25">
      <c r="D90" s="16"/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51" orientation="portrait" r:id="rId1"/>
  <headerFooter alignWithMargins="0">
    <oddFooter>&amp;L&amp;F &amp;A&amp;R&amp;D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3C39-B046-401B-A85C-2EEA603867DB}">
  <sheetPr codeName="Tabelle2">
    <pageSetUpPr fitToPage="1"/>
  </sheetPr>
  <dimension ref="A1:L282"/>
  <sheetViews>
    <sheetView zoomScale="76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A248" sqref="A248"/>
    </sheetView>
  </sheetViews>
  <sheetFormatPr baseColWidth="10" defaultColWidth="11.44140625" defaultRowHeight="13.2" x14ac:dyDescent="0.25"/>
  <cols>
    <col min="1" max="1" width="2.88671875" style="16" customWidth="1"/>
    <col min="2" max="3" width="2.88671875" style="4" customWidth="1"/>
    <col min="4" max="4" width="20.88671875" style="4" customWidth="1"/>
    <col min="5" max="5" width="11.44140625" style="4"/>
    <col min="6" max="6" width="11.88671875" style="4" customWidth="1"/>
    <col min="7" max="16384" width="11.44140625" style="4"/>
  </cols>
  <sheetData>
    <row r="1" spans="1:12" ht="17.399999999999999" x14ac:dyDescent="0.3">
      <c r="A1" s="20" t="s">
        <v>135</v>
      </c>
      <c r="B1" s="3"/>
      <c r="C1" s="3"/>
      <c r="D1" s="3"/>
      <c r="E1" s="3"/>
      <c r="F1" s="3"/>
      <c r="G1" s="3"/>
      <c r="I1" s="4" t="s">
        <v>29</v>
      </c>
    </row>
    <row r="2" spans="1:12" x14ac:dyDescent="0.25">
      <c r="J2" s="4" t="s">
        <v>30</v>
      </c>
      <c r="K2" s="4" t="s">
        <v>31</v>
      </c>
    </row>
    <row r="3" spans="1:12" ht="15.6" x14ac:dyDescent="0.3">
      <c r="A3" s="21" t="s">
        <v>0</v>
      </c>
    </row>
    <row r="4" spans="1:12" x14ac:dyDescent="0.25">
      <c r="A4" s="22" t="s">
        <v>11</v>
      </c>
    </row>
    <row r="5" spans="1:12" x14ac:dyDescent="0.25">
      <c r="E5" s="5" t="str">
        <f>+Holding!E5</f>
        <v>Montag</v>
      </c>
      <c r="F5" s="5" t="str">
        <f>+Holding!F5</f>
        <v>Dienstag</v>
      </c>
      <c r="G5" s="5" t="str">
        <f>+Holding!G5</f>
        <v>Mittwoch</v>
      </c>
      <c r="H5" s="5" t="str">
        <f>+Holding!H5</f>
        <v>Donnerstag</v>
      </c>
      <c r="I5" s="5" t="str">
        <f>+Holding!I5</f>
        <v>Freitag</v>
      </c>
      <c r="J5" s="5" t="str">
        <f>+Holding!J5</f>
        <v>Samstag</v>
      </c>
      <c r="K5" s="5" t="str">
        <f>+Holding!K5</f>
        <v>Sonntag</v>
      </c>
      <c r="L5" s="5" t="str">
        <f>+Holding!L5</f>
        <v>Montag</v>
      </c>
    </row>
    <row r="6" spans="1:12" s="1" customFormat="1" x14ac:dyDescent="0.25">
      <c r="A6" s="23"/>
      <c r="E6" s="1">
        <v>45870</v>
      </c>
      <c r="F6" s="1">
        <f t="shared" ref="F6:L6" si="0">+E6+1</f>
        <v>45871</v>
      </c>
      <c r="G6" s="1">
        <f t="shared" si="0"/>
        <v>45872</v>
      </c>
      <c r="H6" s="1">
        <f t="shared" si="0"/>
        <v>45873</v>
      </c>
      <c r="I6" s="1">
        <f t="shared" si="0"/>
        <v>45874</v>
      </c>
      <c r="J6" s="1">
        <f t="shared" si="0"/>
        <v>45875</v>
      </c>
      <c r="K6" s="1">
        <f t="shared" si="0"/>
        <v>45876</v>
      </c>
      <c r="L6" s="1">
        <f t="shared" si="0"/>
        <v>45877</v>
      </c>
    </row>
    <row r="7" spans="1:12" s="5" customFormat="1" x14ac:dyDescent="0.25">
      <c r="A7" s="24"/>
      <c r="B7" s="6"/>
      <c r="C7" s="6"/>
      <c r="D7" s="6" t="s">
        <v>2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</row>
    <row r="8" spans="1:12" x14ac:dyDescent="0.25">
      <c r="A8" s="17" t="s">
        <v>140</v>
      </c>
      <c r="B8" s="18"/>
      <c r="C8" s="18"/>
      <c r="D8" s="18"/>
      <c r="E8" s="8" t="s">
        <v>1</v>
      </c>
      <c r="F8" s="15"/>
      <c r="G8" s="7"/>
    </row>
    <row r="9" spans="1:12" s="5" customFormat="1" x14ac:dyDescent="0.25">
      <c r="A9" s="23"/>
    </row>
    <row r="10" spans="1:12" x14ac:dyDescent="0.25">
      <c r="D10" s="8" t="s">
        <v>12</v>
      </c>
      <c r="E10" s="9">
        <v>-649.5</v>
      </c>
      <c r="F10" s="4">
        <f t="shared" ref="F10:L10" si="1">+E41</f>
        <v>-708.93000000000006</v>
      </c>
      <c r="G10" s="4">
        <f t="shared" si="1"/>
        <v>-652.6</v>
      </c>
      <c r="H10" s="4">
        <f t="shared" si="1"/>
        <v>-592.6</v>
      </c>
      <c r="I10" s="4">
        <f t="shared" si="1"/>
        <v>-570.79300000000001</v>
      </c>
      <c r="J10" s="4">
        <f t="shared" si="1"/>
        <v>-565.97699999999998</v>
      </c>
      <c r="K10" s="4">
        <f t="shared" si="1"/>
        <v>-565.97699999999998</v>
      </c>
      <c r="L10" s="4">
        <f t="shared" si="1"/>
        <v>-565.97699999999998</v>
      </c>
    </row>
    <row r="11" spans="1:12" x14ac:dyDescent="0.25">
      <c r="A11" s="25" t="s">
        <v>4</v>
      </c>
      <c r="E11" s="9"/>
      <c r="F11" s="9"/>
      <c r="G11" s="9"/>
      <c r="H11" s="9"/>
      <c r="I11" s="9"/>
      <c r="J11" s="9"/>
      <c r="K11" s="9"/>
      <c r="L11" s="9"/>
    </row>
    <row r="12" spans="1:12" x14ac:dyDescent="0.25">
      <c r="B12" s="4" t="s">
        <v>43</v>
      </c>
      <c r="E12" s="9">
        <f>50+6.5+26+12.089</f>
        <v>94.588999999999999</v>
      </c>
      <c r="F12" s="9">
        <f>30+15.2+17.13</f>
        <v>62.33</v>
      </c>
      <c r="G12" s="9">
        <f>15+15</f>
        <v>30</v>
      </c>
      <c r="H12" s="9">
        <f>20+1.349+0.458</f>
        <v>21.806999999999999</v>
      </c>
      <c r="I12" s="9">
        <f>20+17.9</f>
        <v>37.9</v>
      </c>
      <c r="J12" s="9"/>
      <c r="K12" s="9"/>
      <c r="L12" s="9">
        <v>20</v>
      </c>
    </row>
    <row r="13" spans="1:12" x14ac:dyDescent="0.25">
      <c r="B13" s="4" t="s">
        <v>44</v>
      </c>
      <c r="E13" s="9"/>
      <c r="F13" s="9"/>
      <c r="G13" s="9"/>
      <c r="H13" s="9"/>
      <c r="I13" s="9"/>
      <c r="J13" s="9"/>
      <c r="K13" s="9"/>
      <c r="L13" s="9"/>
    </row>
    <row r="14" spans="1:12" x14ac:dyDescent="0.25">
      <c r="B14" s="4" t="s">
        <v>148</v>
      </c>
      <c r="E14" s="9"/>
      <c r="F14" s="9"/>
      <c r="G14" s="9"/>
      <c r="H14" s="9"/>
      <c r="I14" s="9"/>
      <c r="J14" s="9"/>
      <c r="K14" s="9"/>
      <c r="L14" s="9"/>
    </row>
    <row r="15" spans="1:12" x14ac:dyDescent="0.25">
      <c r="B15" s="4" t="s">
        <v>72</v>
      </c>
      <c r="E15" s="9"/>
      <c r="F15" s="9"/>
      <c r="G15" s="9"/>
      <c r="H15" s="9"/>
      <c r="I15" s="9"/>
      <c r="J15" s="9"/>
      <c r="K15" s="9"/>
      <c r="L15" s="9"/>
    </row>
    <row r="16" spans="1:12" x14ac:dyDescent="0.25">
      <c r="B16" s="4" t="s">
        <v>149</v>
      </c>
      <c r="E16" s="9"/>
      <c r="F16" s="9"/>
      <c r="G16" s="9"/>
      <c r="H16" s="9"/>
      <c r="I16" s="9"/>
      <c r="J16" s="9"/>
      <c r="K16" s="9"/>
      <c r="L16" s="9"/>
    </row>
    <row r="17" spans="1:12" x14ac:dyDescent="0.25">
      <c r="E17" s="9"/>
      <c r="F17" s="9"/>
      <c r="G17" s="9"/>
      <c r="H17" s="9"/>
      <c r="I17" s="9"/>
      <c r="J17" s="9"/>
      <c r="K17" s="9"/>
      <c r="L17" s="9"/>
    </row>
    <row r="18" spans="1:12" x14ac:dyDescent="0.25">
      <c r="E18" s="9"/>
      <c r="F18" s="9"/>
      <c r="G18" s="9"/>
      <c r="H18" s="9"/>
      <c r="I18" s="9"/>
      <c r="J18" s="9"/>
      <c r="K18" s="9"/>
      <c r="L18" s="9"/>
    </row>
    <row r="19" spans="1:12" x14ac:dyDescent="0.25">
      <c r="E19" s="9"/>
      <c r="F19" s="9"/>
      <c r="G19" s="9"/>
      <c r="H19" s="9"/>
      <c r="I19" s="9"/>
      <c r="J19" s="9"/>
      <c r="K19" s="9"/>
      <c r="L19" s="9"/>
    </row>
    <row r="20" spans="1:12" x14ac:dyDescent="0.25">
      <c r="E20" s="9"/>
      <c r="F20" s="9"/>
      <c r="G20" s="9"/>
      <c r="H20" s="9"/>
      <c r="I20" s="9"/>
      <c r="J20" s="9"/>
      <c r="K20" s="9"/>
      <c r="L20" s="9"/>
    </row>
    <row r="21" spans="1:12" x14ac:dyDescent="0.25">
      <c r="B21" s="4" t="s">
        <v>8</v>
      </c>
      <c r="E21" s="9"/>
      <c r="F21" s="9"/>
      <c r="G21" s="9">
        <v>80</v>
      </c>
      <c r="H21" s="9"/>
      <c r="I21" s="9"/>
      <c r="J21" s="9"/>
      <c r="K21" s="9"/>
      <c r="L21" s="9"/>
    </row>
    <row r="22" spans="1:12" x14ac:dyDescent="0.25">
      <c r="D22" s="10" t="s">
        <v>5</v>
      </c>
      <c r="E22" s="11">
        <f>SUM(E11:E21)</f>
        <v>94.588999999999999</v>
      </c>
      <c r="F22" s="11">
        <f t="shared" ref="F22:L22" si="2">SUM(F11:F21)</f>
        <v>62.33</v>
      </c>
      <c r="G22" s="11">
        <f t="shared" si="2"/>
        <v>110</v>
      </c>
      <c r="H22" s="11">
        <f t="shared" si="2"/>
        <v>21.806999999999999</v>
      </c>
      <c r="I22" s="11">
        <f t="shared" si="2"/>
        <v>37.9</v>
      </c>
      <c r="J22" s="11">
        <f t="shared" si="2"/>
        <v>0</v>
      </c>
      <c r="K22" s="11">
        <f t="shared" si="2"/>
        <v>0</v>
      </c>
      <c r="L22" s="11">
        <f t="shared" si="2"/>
        <v>20</v>
      </c>
    </row>
    <row r="23" spans="1:12" x14ac:dyDescent="0.25">
      <c r="A23" s="25" t="s">
        <v>6</v>
      </c>
    </row>
    <row r="24" spans="1:12" x14ac:dyDescent="0.25">
      <c r="B24" s="4" t="s">
        <v>45</v>
      </c>
      <c r="E24" s="9"/>
      <c r="F24" s="9"/>
      <c r="G24" s="9"/>
      <c r="H24" s="9"/>
      <c r="I24" s="9"/>
      <c r="J24" s="9"/>
      <c r="K24" s="9"/>
      <c r="L24" s="9"/>
    </row>
    <row r="25" spans="1:12" x14ac:dyDescent="0.25">
      <c r="B25" s="4" t="s">
        <v>46</v>
      </c>
      <c r="E25" s="9">
        <f>37.619-3.6</f>
        <v>34.018999999999998</v>
      </c>
      <c r="F25" s="9"/>
      <c r="G25" s="9"/>
      <c r="H25" s="9"/>
      <c r="I25" s="9"/>
      <c r="J25" s="9"/>
      <c r="K25" s="9"/>
      <c r="L25" s="9"/>
    </row>
    <row r="26" spans="1:12" x14ac:dyDescent="0.25">
      <c r="B26" s="4" t="s">
        <v>47</v>
      </c>
      <c r="E26" s="9"/>
      <c r="F26" s="9"/>
      <c r="G26" s="9"/>
      <c r="H26" s="9"/>
      <c r="I26" s="9">
        <v>13.084</v>
      </c>
      <c r="J26" s="9"/>
      <c r="K26" s="9"/>
      <c r="L26" s="9"/>
    </row>
    <row r="27" spans="1:12" x14ac:dyDescent="0.25">
      <c r="B27" s="4" t="s">
        <v>48</v>
      </c>
      <c r="E27" s="9"/>
      <c r="F27" s="9"/>
      <c r="G27" s="9"/>
      <c r="H27" s="9"/>
      <c r="I27" s="9"/>
      <c r="J27" s="9"/>
      <c r="K27" s="9"/>
      <c r="L27" s="9"/>
    </row>
    <row r="28" spans="1:12" x14ac:dyDescent="0.25">
      <c r="B28" s="4" t="s">
        <v>52</v>
      </c>
      <c r="E28" s="9"/>
      <c r="F28" s="9"/>
      <c r="G28" s="9"/>
      <c r="H28" s="9"/>
      <c r="I28" s="9"/>
      <c r="J28" s="9"/>
      <c r="K28" s="9"/>
      <c r="L28" s="9"/>
    </row>
    <row r="29" spans="1:12" x14ac:dyDescent="0.25">
      <c r="B29" s="4" t="s">
        <v>148</v>
      </c>
      <c r="E29" s="9"/>
      <c r="F29" s="9"/>
      <c r="G29" s="9"/>
      <c r="H29" s="9"/>
      <c r="I29" s="9"/>
      <c r="J29" s="9"/>
      <c r="K29" s="9"/>
      <c r="L29" s="9"/>
    </row>
    <row r="30" spans="1:12" x14ac:dyDescent="0.25">
      <c r="B30" s="4" t="s">
        <v>71</v>
      </c>
      <c r="E30" s="9"/>
      <c r="F30" s="9"/>
      <c r="G30" s="9"/>
      <c r="H30" s="9"/>
      <c r="I30" s="9"/>
      <c r="J30" s="9"/>
      <c r="K30" s="9"/>
      <c r="L30" s="9"/>
    </row>
    <row r="31" spans="1:12" x14ac:dyDescent="0.25">
      <c r="B31" s="4" t="s">
        <v>51</v>
      </c>
      <c r="E31" s="9"/>
      <c r="F31" s="9"/>
      <c r="G31" s="9"/>
      <c r="H31" s="9"/>
      <c r="I31" s="9"/>
      <c r="J31" s="9"/>
      <c r="K31" s="9"/>
      <c r="L31" s="9"/>
    </row>
    <row r="32" spans="1:12" x14ac:dyDescent="0.25">
      <c r="B32" s="4" t="s">
        <v>72</v>
      </c>
      <c r="E32" s="9"/>
      <c r="F32" s="9"/>
      <c r="G32" s="9"/>
      <c r="H32" s="9"/>
      <c r="I32" s="9"/>
      <c r="J32" s="9"/>
      <c r="K32" s="9"/>
      <c r="L32" s="9"/>
    </row>
    <row r="33" spans="1:12" x14ac:dyDescent="0.25">
      <c r="E33" s="9"/>
      <c r="F33" s="9"/>
      <c r="G33" s="9"/>
      <c r="H33" s="9"/>
      <c r="I33" s="9"/>
      <c r="J33" s="9"/>
      <c r="K33" s="9"/>
      <c r="L33" s="9"/>
    </row>
    <row r="34" spans="1:12" x14ac:dyDescent="0.25">
      <c r="E34" s="9"/>
      <c r="F34" s="9"/>
      <c r="G34" s="9"/>
      <c r="H34" s="9"/>
      <c r="I34" s="9"/>
      <c r="J34" s="9"/>
      <c r="K34" s="9"/>
      <c r="L34" s="9"/>
    </row>
    <row r="35" spans="1:12" x14ac:dyDescent="0.25">
      <c r="E35" s="9"/>
      <c r="F35" s="9"/>
      <c r="G35" s="9"/>
      <c r="H35" s="9"/>
      <c r="I35" s="9"/>
      <c r="J35" s="9"/>
      <c r="K35" s="9"/>
      <c r="L35" s="9"/>
    </row>
    <row r="36" spans="1:12" x14ac:dyDescent="0.25">
      <c r="B36" s="4" t="s">
        <v>73</v>
      </c>
      <c r="E36" s="9">
        <v>120</v>
      </c>
      <c r="F36" s="9">
        <v>6</v>
      </c>
      <c r="G36" s="9">
        <v>50</v>
      </c>
      <c r="H36" s="9"/>
      <c r="I36" s="9">
        <v>20</v>
      </c>
      <c r="J36" s="9"/>
      <c r="K36" s="9"/>
      <c r="L36" s="9">
        <v>40</v>
      </c>
    </row>
    <row r="37" spans="1:12" x14ac:dyDescent="0.25">
      <c r="B37" s="4" t="s">
        <v>58</v>
      </c>
      <c r="E37" s="9"/>
      <c r="F37" s="9"/>
      <c r="G37" s="9"/>
      <c r="H37" s="9"/>
      <c r="I37" s="9"/>
      <c r="J37" s="9"/>
      <c r="K37" s="9"/>
      <c r="L37" s="9"/>
    </row>
    <row r="38" spans="1:12" x14ac:dyDescent="0.25">
      <c r="B38" s="4" t="s">
        <v>8</v>
      </c>
      <c r="E38" s="9"/>
      <c r="F38" s="9"/>
      <c r="G38" s="9"/>
      <c r="H38" s="9"/>
      <c r="I38" s="9"/>
      <c r="J38" s="9"/>
      <c r="K38" s="9"/>
      <c r="L38" s="9"/>
    </row>
    <row r="39" spans="1:12" x14ac:dyDescent="0.25">
      <c r="D39" s="10" t="s">
        <v>7</v>
      </c>
      <c r="E39" s="11">
        <f t="shared" ref="E39:L39" si="3">SUM(E24:E38)</f>
        <v>154.01900000000001</v>
      </c>
      <c r="F39" s="11">
        <f t="shared" si="3"/>
        <v>6</v>
      </c>
      <c r="G39" s="11">
        <f t="shared" si="3"/>
        <v>50</v>
      </c>
      <c r="H39" s="11">
        <f t="shared" si="3"/>
        <v>0</v>
      </c>
      <c r="I39" s="11">
        <f t="shared" si="3"/>
        <v>33.084000000000003</v>
      </c>
      <c r="J39" s="11">
        <f t="shared" si="3"/>
        <v>0</v>
      </c>
      <c r="K39" s="11">
        <f t="shared" si="3"/>
        <v>0</v>
      </c>
      <c r="L39" s="11">
        <f t="shared" si="3"/>
        <v>40</v>
      </c>
    </row>
    <row r="40" spans="1:12" x14ac:dyDescent="0.25">
      <c r="D40" s="8" t="s">
        <v>9</v>
      </c>
      <c r="E40" s="4">
        <f>+E22-E39</f>
        <v>-59.430000000000007</v>
      </c>
      <c r="F40" s="4">
        <f t="shared" ref="F40:L40" si="4">+F22-F39</f>
        <v>56.33</v>
      </c>
      <c r="G40" s="4">
        <f t="shared" si="4"/>
        <v>60</v>
      </c>
      <c r="H40" s="4">
        <f t="shared" si="4"/>
        <v>21.806999999999999</v>
      </c>
      <c r="I40" s="4">
        <f t="shared" si="4"/>
        <v>4.8159999999999954</v>
      </c>
      <c r="J40" s="4">
        <f t="shared" si="4"/>
        <v>0</v>
      </c>
      <c r="K40" s="4">
        <f t="shared" si="4"/>
        <v>0</v>
      </c>
      <c r="L40" s="4">
        <f t="shared" si="4"/>
        <v>-20</v>
      </c>
    </row>
    <row r="41" spans="1:12" ht="13.8" thickBot="1" x14ac:dyDescent="0.3">
      <c r="D41" s="8" t="s">
        <v>10</v>
      </c>
      <c r="E41" s="12">
        <f>+E10+E40</f>
        <v>-708.93000000000006</v>
      </c>
      <c r="F41" s="12">
        <f t="shared" ref="F41:L41" si="5">+F10+F40</f>
        <v>-652.6</v>
      </c>
      <c r="G41" s="12">
        <f t="shared" si="5"/>
        <v>-592.6</v>
      </c>
      <c r="H41" s="12">
        <f t="shared" si="5"/>
        <v>-570.79300000000001</v>
      </c>
      <c r="I41" s="12">
        <f t="shared" si="5"/>
        <v>-565.97699999999998</v>
      </c>
      <c r="J41" s="12">
        <f t="shared" si="5"/>
        <v>-565.97699999999998</v>
      </c>
      <c r="K41" s="12">
        <f t="shared" si="5"/>
        <v>-565.97699999999998</v>
      </c>
      <c r="L41" s="12">
        <f t="shared" si="5"/>
        <v>-585.97699999999998</v>
      </c>
    </row>
    <row r="42" spans="1:12" ht="13.8" thickTop="1" x14ac:dyDescent="0.25"/>
    <row r="43" spans="1:12" x14ac:dyDescent="0.25">
      <c r="A43" s="29" t="s">
        <v>141</v>
      </c>
      <c r="B43" s="30"/>
      <c r="C43" s="30"/>
      <c r="D43" s="30"/>
      <c r="E43" s="8" t="s">
        <v>1</v>
      </c>
      <c r="F43" s="15">
        <v>0</v>
      </c>
      <c r="H43" s="7"/>
    </row>
    <row r="44" spans="1:12" x14ac:dyDescent="0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D45" s="8" t="s">
        <v>12</v>
      </c>
      <c r="E45" s="9"/>
      <c r="F45" s="4">
        <f>E75</f>
        <v>0</v>
      </c>
      <c r="G45" s="4">
        <f t="shared" ref="G45:L45" si="6">F75</f>
        <v>0</v>
      </c>
      <c r="H45" s="4">
        <f t="shared" si="6"/>
        <v>0</v>
      </c>
      <c r="I45" s="4">
        <f t="shared" si="6"/>
        <v>0</v>
      </c>
      <c r="J45" s="4">
        <f t="shared" si="6"/>
        <v>0</v>
      </c>
      <c r="K45" s="4">
        <f t="shared" si="6"/>
        <v>0</v>
      </c>
      <c r="L45" s="4">
        <f t="shared" si="6"/>
        <v>0</v>
      </c>
    </row>
    <row r="46" spans="1:12" x14ac:dyDescent="0.25">
      <c r="A46" s="25" t="s">
        <v>4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E47" s="9"/>
      <c r="F47" s="9"/>
      <c r="G47" s="9"/>
      <c r="H47" s="9"/>
      <c r="I47" s="9"/>
      <c r="J47" s="9"/>
      <c r="K47" s="9"/>
      <c r="L47" s="9"/>
    </row>
    <row r="48" spans="1:12" x14ac:dyDescent="0.25">
      <c r="E48" s="9"/>
      <c r="F48" s="9"/>
      <c r="G48" s="9"/>
      <c r="H48" s="9"/>
      <c r="I48" s="9"/>
      <c r="J48" s="9"/>
      <c r="K48" s="9"/>
      <c r="L48" s="9"/>
    </row>
    <row r="49" spans="1:12" x14ac:dyDescent="0.25">
      <c r="E49" s="9"/>
      <c r="F49" s="9"/>
      <c r="G49" s="9"/>
      <c r="H49" s="9"/>
      <c r="I49" s="9"/>
      <c r="J49" s="9"/>
      <c r="K49" s="9"/>
      <c r="L49" s="9"/>
    </row>
    <row r="50" spans="1:12" x14ac:dyDescent="0.25">
      <c r="E50" s="9"/>
      <c r="F50" s="9"/>
      <c r="G50" s="9"/>
      <c r="H50" s="9"/>
      <c r="I50" s="9"/>
      <c r="J50" s="9"/>
      <c r="K50" s="9"/>
      <c r="L50" s="9"/>
    </row>
    <row r="51" spans="1:12" x14ac:dyDescent="0.25">
      <c r="E51" s="9"/>
      <c r="F51" s="9"/>
      <c r="G51" s="9"/>
      <c r="H51" s="9"/>
      <c r="I51" s="9"/>
      <c r="J51" s="9"/>
      <c r="K51" s="9"/>
      <c r="L51" s="9"/>
    </row>
    <row r="52" spans="1:12" x14ac:dyDescent="0.25">
      <c r="E52" s="9"/>
      <c r="F52" s="9"/>
      <c r="G52" s="9"/>
      <c r="H52" s="9"/>
      <c r="I52" s="9"/>
      <c r="J52" s="9"/>
      <c r="K52" s="9"/>
      <c r="L52" s="9"/>
    </row>
    <row r="53" spans="1:12" x14ac:dyDescent="0.25">
      <c r="E53" s="9"/>
      <c r="F53" s="9"/>
      <c r="G53" s="9"/>
      <c r="H53" s="9"/>
      <c r="I53" s="9"/>
      <c r="J53" s="9"/>
      <c r="K53" s="9"/>
      <c r="L53" s="9"/>
    </row>
    <row r="54" spans="1:12" x14ac:dyDescent="0.25">
      <c r="E54" s="9"/>
      <c r="F54" s="9"/>
      <c r="G54" s="9"/>
      <c r="H54" s="9"/>
      <c r="I54" s="9"/>
      <c r="J54" s="9"/>
      <c r="K54" s="9"/>
      <c r="L54" s="9"/>
    </row>
    <row r="55" spans="1:12" x14ac:dyDescent="0.25">
      <c r="B55" s="4" t="s">
        <v>8</v>
      </c>
      <c r="E55" s="9"/>
      <c r="F55" s="9"/>
      <c r="G55" s="9"/>
      <c r="H55" s="9"/>
      <c r="I55" s="9"/>
      <c r="J55" s="9"/>
      <c r="K55" s="9"/>
      <c r="L55" s="9"/>
    </row>
    <row r="56" spans="1:12" x14ac:dyDescent="0.25">
      <c r="D56" s="10" t="s">
        <v>5</v>
      </c>
      <c r="E56" s="11">
        <f t="shared" ref="E56:L56" si="7">SUM(E46:E55)</f>
        <v>0</v>
      </c>
      <c r="F56" s="11">
        <f t="shared" si="7"/>
        <v>0</v>
      </c>
      <c r="G56" s="11">
        <f t="shared" si="7"/>
        <v>0</v>
      </c>
      <c r="H56" s="11">
        <f t="shared" si="7"/>
        <v>0</v>
      </c>
      <c r="I56" s="11">
        <f t="shared" si="7"/>
        <v>0</v>
      </c>
      <c r="J56" s="11">
        <f t="shared" si="7"/>
        <v>0</v>
      </c>
      <c r="K56" s="11">
        <f t="shared" si="7"/>
        <v>0</v>
      </c>
      <c r="L56" s="11">
        <f t="shared" si="7"/>
        <v>0</v>
      </c>
    </row>
    <row r="57" spans="1:12" x14ac:dyDescent="0.25">
      <c r="A57" s="25" t="s">
        <v>6</v>
      </c>
    </row>
    <row r="58" spans="1:12" x14ac:dyDescent="0.25">
      <c r="E58" s="9"/>
      <c r="F58" s="9"/>
      <c r="G58" s="9"/>
      <c r="H58" s="9"/>
      <c r="I58" s="9"/>
      <c r="J58" s="9"/>
      <c r="K58" s="9"/>
      <c r="L58" s="9"/>
    </row>
    <row r="59" spans="1:12" x14ac:dyDescent="0.25">
      <c r="E59" s="9"/>
      <c r="F59" s="9"/>
      <c r="G59" s="9"/>
      <c r="H59" s="9"/>
      <c r="I59" s="9"/>
      <c r="J59" s="9"/>
      <c r="K59" s="9"/>
      <c r="L59" s="9"/>
    </row>
    <row r="60" spans="1:12" x14ac:dyDescent="0.25">
      <c r="E60" s="9"/>
      <c r="F60" s="9"/>
      <c r="G60" s="9"/>
      <c r="H60" s="9"/>
      <c r="I60" s="9"/>
      <c r="J60" s="9"/>
      <c r="K60" s="9"/>
      <c r="L60" s="9"/>
    </row>
    <row r="61" spans="1:12" x14ac:dyDescent="0.25">
      <c r="E61" s="9"/>
      <c r="F61" s="9"/>
      <c r="G61" s="9"/>
      <c r="H61" s="9"/>
      <c r="I61" s="9"/>
      <c r="J61" s="9"/>
      <c r="K61" s="9"/>
      <c r="L61" s="9"/>
    </row>
    <row r="62" spans="1:12" x14ac:dyDescent="0.25">
      <c r="E62" s="9"/>
      <c r="F62" s="9"/>
      <c r="G62" s="9"/>
      <c r="H62" s="9"/>
      <c r="I62" s="9"/>
      <c r="J62" s="9"/>
      <c r="K62" s="9"/>
      <c r="L62" s="9"/>
    </row>
    <row r="63" spans="1:12" x14ac:dyDescent="0.25">
      <c r="E63" s="9"/>
      <c r="F63" s="9"/>
      <c r="G63" s="9"/>
      <c r="H63" s="9"/>
      <c r="I63" s="9"/>
      <c r="J63" s="9"/>
      <c r="K63" s="9"/>
      <c r="L63" s="9"/>
    </row>
    <row r="64" spans="1:12" x14ac:dyDescent="0.25">
      <c r="E64" s="9"/>
      <c r="F64" s="9"/>
      <c r="G64" s="9"/>
      <c r="H64" s="9"/>
      <c r="I64" s="9"/>
      <c r="J64" s="9"/>
      <c r="K64" s="9"/>
      <c r="L64" s="9"/>
    </row>
    <row r="65" spans="1:12" x14ac:dyDescent="0.25">
      <c r="E65" s="9"/>
      <c r="F65" s="9"/>
      <c r="G65" s="9"/>
      <c r="H65" s="9"/>
      <c r="I65" s="9"/>
      <c r="J65" s="9"/>
      <c r="K65" s="9"/>
      <c r="L65" s="9"/>
    </row>
    <row r="66" spans="1:12" x14ac:dyDescent="0.25">
      <c r="E66" s="9"/>
      <c r="F66" s="9"/>
      <c r="G66" s="9"/>
      <c r="H66" s="9"/>
      <c r="I66" s="9"/>
      <c r="J66" s="9"/>
      <c r="K66" s="9"/>
      <c r="L66" s="9"/>
    </row>
    <row r="67" spans="1:12" x14ac:dyDescent="0.25">
      <c r="E67" s="9"/>
      <c r="F67" s="9"/>
      <c r="G67" s="9"/>
      <c r="H67" s="9"/>
      <c r="I67" s="9"/>
      <c r="J67" s="9"/>
      <c r="K67" s="9"/>
      <c r="L67" s="9"/>
    </row>
    <row r="68" spans="1:12" x14ac:dyDescent="0.25">
      <c r="E68" s="9"/>
      <c r="F68" s="9"/>
      <c r="G68" s="9"/>
      <c r="H68" s="9"/>
      <c r="I68" s="9"/>
      <c r="J68" s="9"/>
      <c r="K68" s="9"/>
      <c r="L68" s="9"/>
    </row>
    <row r="69" spans="1:12" x14ac:dyDescent="0.25">
      <c r="E69" s="9"/>
      <c r="F69" s="9"/>
      <c r="G69" s="9"/>
      <c r="H69" s="9"/>
      <c r="I69" s="9"/>
      <c r="J69" s="9"/>
      <c r="K69" s="9"/>
      <c r="L69" s="9"/>
    </row>
    <row r="70" spans="1:12" x14ac:dyDescent="0.25">
      <c r="E70" s="9"/>
      <c r="F70" s="9"/>
      <c r="G70" s="9"/>
      <c r="H70" s="9"/>
      <c r="I70" s="9"/>
      <c r="J70" s="9"/>
      <c r="K70" s="9"/>
      <c r="L70" s="9"/>
    </row>
    <row r="71" spans="1:12" x14ac:dyDescent="0.25">
      <c r="E71" s="9"/>
      <c r="F71" s="9"/>
      <c r="G71" s="9"/>
      <c r="H71" s="9"/>
      <c r="I71" s="9"/>
      <c r="J71" s="9"/>
      <c r="K71" s="9"/>
      <c r="L71" s="9"/>
    </row>
    <row r="72" spans="1:12" x14ac:dyDescent="0.25">
      <c r="B72" s="4" t="s">
        <v>8</v>
      </c>
      <c r="E72" s="9"/>
      <c r="F72" s="9"/>
      <c r="G72" s="9"/>
      <c r="H72" s="9"/>
      <c r="I72" s="9"/>
      <c r="J72" s="9"/>
      <c r="K72" s="9"/>
      <c r="L72" s="9"/>
    </row>
    <row r="73" spans="1:12" x14ac:dyDescent="0.25">
      <c r="D73" s="10" t="s">
        <v>7</v>
      </c>
      <c r="E73" s="11">
        <f t="shared" ref="E73:L73" si="8">SUM(E58:E72)</f>
        <v>0</v>
      </c>
      <c r="F73" s="11">
        <f t="shared" si="8"/>
        <v>0</v>
      </c>
      <c r="G73" s="11">
        <f t="shared" si="8"/>
        <v>0</v>
      </c>
      <c r="H73" s="11">
        <f t="shared" si="8"/>
        <v>0</v>
      </c>
      <c r="I73" s="11">
        <f t="shared" si="8"/>
        <v>0</v>
      </c>
      <c r="J73" s="11">
        <f t="shared" si="8"/>
        <v>0</v>
      </c>
      <c r="K73" s="11">
        <f t="shared" si="8"/>
        <v>0</v>
      </c>
      <c r="L73" s="11">
        <f t="shared" si="8"/>
        <v>0</v>
      </c>
    </row>
    <row r="74" spans="1:12" x14ac:dyDescent="0.25">
      <c r="D74" s="8" t="s">
        <v>9</v>
      </c>
      <c r="E74" s="4">
        <f t="shared" ref="E74:L74" si="9">+E56-E73</f>
        <v>0</v>
      </c>
      <c r="F74" s="4">
        <f t="shared" si="9"/>
        <v>0</v>
      </c>
      <c r="G74" s="4">
        <f t="shared" si="9"/>
        <v>0</v>
      </c>
      <c r="H74" s="4">
        <f t="shared" si="9"/>
        <v>0</v>
      </c>
      <c r="I74" s="4">
        <f t="shared" si="9"/>
        <v>0</v>
      </c>
      <c r="J74" s="4">
        <f t="shared" si="9"/>
        <v>0</v>
      </c>
      <c r="K74" s="4">
        <f t="shared" si="9"/>
        <v>0</v>
      </c>
      <c r="L74" s="4">
        <f t="shared" si="9"/>
        <v>0</v>
      </c>
    </row>
    <row r="75" spans="1:12" ht="13.8" thickBot="1" x14ac:dyDescent="0.3">
      <c r="D75" s="8" t="s">
        <v>10</v>
      </c>
      <c r="E75" s="12">
        <f t="shared" ref="E75:L75" si="10">+E45+E74</f>
        <v>0</v>
      </c>
      <c r="F75" s="12">
        <f t="shared" si="10"/>
        <v>0</v>
      </c>
      <c r="G75" s="12">
        <f t="shared" si="10"/>
        <v>0</v>
      </c>
      <c r="H75" s="12">
        <f t="shared" si="10"/>
        <v>0</v>
      </c>
      <c r="I75" s="12">
        <f t="shared" si="10"/>
        <v>0</v>
      </c>
      <c r="J75" s="12">
        <f t="shared" si="10"/>
        <v>0</v>
      </c>
      <c r="K75" s="12">
        <f t="shared" si="10"/>
        <v>0</v>
      </c>
      <c r="L75" s="12">
        <f t="shared" si="10"/>
        <v>0</v>
      </c>
    </row>
    <row r="76" spans="1:12" ht="13.8" thickTop="1" x14ac:dyDescent="0.25"/>
    <row r="77" spans="1:12" x14ac:dyDescent="0.25">
      <c r="A77" s="26" t="s">
        <v>141</v>
      </c>
      <c r="B77" s="18"/>
      <c r="C77" s="18"/>
      <c r="D77" s="18"/>
      <c r="E77" s="8" t="s">
        <v>1</v>
      </c>
      <c r="F77" s="15"/>
      <c r="G77" s="7"/>
      <c r="H77" s="7"/>
    </row>
    <row r="78" spans="1:12" x14ac:dyDescent="0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D79" s="8" t="s">
        <v>12</v>
      </c>
      <c r="E79" s="9">
        <v>-284.10000000000002</v>
      </c>
      <c r="F79" s="4">
        <f>+E109</f>
        <v>-239.29000000000002</v>
      </c>
      <c r="G79" s="4">
        <f t="shared" ref="G79:L79" si="11">+F109</f>
        <v>-224.0498</v>
      </c>
      <c r="H79" s="4">
        <f t="shared" si="11"/>
        <v>-287.0788</v>
      </c>
      <c r="I79" s="4">
        <f t="shared" si="11"/>
        <v>-242.0788</v>
      </c>
      <c r="J79" s="4">
        <f t="shared" si="11"/>
        <v>-231.3278</v>
      </c>
      <c r="K79" s="4">
        <f t="shared" si="11"/>
        <v>-231.3278</v>
      </c>
      <c r="L79" s="4">
        <f t="shared" si="11"/>
        <v>-231.3278</v>
      </c>
    </row>
    <row r="80" spans="1:12" x14ac:dyDescent="0.25">
      <c r="A80" s="25" t="s">
        <v>4</v>
      </c>
      <c r="E80" s="9"/>
      <c r="F80" s="9"/>
      <c r="G80" s="9"/>
      <c r="H80" s="9"/>
      <c r="I80" s="9"/>
      <c r="J80" s="9"/>
      <c r="K80" s="9"/>
      <c r="L80" s="9"/>
    </row>
    <row r="81" spans="1:12" x14ac:dyDescent="0.25">
      <c r="B81" s="4" t="s">
        <v>43</v>
      </c>
      <c r="E81" s="9">
        <v>5</v>
      </c>
      <c r="F81" s="9">
        <v>5</v>
      </c>
      <c r="G81" s="9">
        <v>5</v>
      </c>
      <c r="H81" s="9">
        <v>5</v>
      </c>
      <c r="I81" s="9">
        <v>5</v>
      </c>
      <c r="J81" s="9"/>
      <c r="K81" s="9"/>
      <c r="L81" s="9">
        <v>5</v>
      </c>
    </row>
    <row r="82" spans="1:12" x14ac:dyDescent="0.25">
      <c r="B82" s="4" t="s">
        <v>53</v>
      </c>
      <c r="E82" s="9">
        <v>80</v>
      </c>
      <c r="F82" s="9">
        <v>50</v>
      </c>
      <c r="G82" s="9">
        <v>10</v>
      </c>
      <c r="H82" s="9">
        <v>40</v>
      </c>
      <c r="I82" s="9">
        <v>10</v>
      </c>
      <c r="J82" s="9"/>
      <c r="K82" s="9"/>
      <c r="L82" s="9">
        <v>10</v>
      </c>
    </row>
    <row r="83" spans="1:12" x14ac:dyDescent="0.25">
      <c r="B83" s="4" t="s">
        <v>72</v>
      </c>
      <c r="E83" s="9"/>
      <c r="F83" s="9"/>
      <c r="G83" s="9">
        <v>45</v>
      </c>
      <c r="H83" s="9"/>
      <c r="I83" s="9"/>
      <c r="J83" s="9"/>
      <c r="K83" s="9"/>
      <c r="L83" s="9"/>
    </row>
    <row r="84" spans="1:12" x14ac:dyDescent="0.25">
      <c r="E84" s="9"/>
      <c r="F84" s="9"/>
      <c r="G84" s="9"/>
      <c r="H84" s="9"/>
      <c r="I84" s="9"/>
      <c r="J84" s="9"/>
      <c r="K84" s="9"/>
      <c r="L84" s="9"/>
    </row>
    <row r="85" spans="1:12" x14ac:dyDescent="0.25">
      <c r="E85" s="9"/>
      <c r="F85" s="9"/>
      <c r="G85" s="9"/>
      <c r="H85" s="9"/>
      <c r="I85" s="9"/>
      <c r="J85" s="9"/>
      <c r="K85" s="9"/>
      <c r="L85" s="9"/>
    </row>
    <row r="86" spans="1:12" x14ac:dyDescent="0.25">
      <c r="E86" s="9"/>
      <c r="F86" s="9"/>
      <c r="G86" s="9"/>
      <c r="H86" s="9"/>
      <c r="I86" s="9"/>
      <c r="J86" s="9"/>
      <c r="K86" s="9"/>
      <c r="L86" s="9"/>
    </row>
    <row r="87" spans="1:12" x14ac:dyDescent="0.25">
      <c r="E87" s="9"/>
      <c r="F87" s="9"/>
      <c r="G87" s="9"/>
      <c r="H87" s="9"/>
      <c r="I87" s="9"/>
      <c r="J87" s="9"/>
      <c r="K87" s="9"/>
      <c r="L87" s="9"/>
    </row>
    <row r="88" spans="1:12" x14ac:dyDescent="0.25">
      <c r="E88" s="9"/>
      <c r="F88" s="9"/>
      <c r="G88" s="9"/>
      <c r="H88" s="9"/>
      <c r="I88" s="9"/>
      <c r="J88" s="9"/>
      <c r="K88" s="9"/>
      <c r="L88" s="9"/>
    </row>
    <row r="89" spans="1:12" x14ac:dyDescent="0.25">
      <c r="E89" s="9"/>
      <c r="F89" s="9"/>
      <c r="G89" s="9"/>
      <c r="H89" s="9"/>
      <c r="I89" s="9"/>
      <c r="J89" s="9"/>
      <c r="K89" s="9"/>
      <c r="L89" s="9"/>
    </row>
    <row r="90" spans="1:12" x14ac:dyDescent="0.25">
      <c r="B90" s="4" t="s">
        <v>8</v>
      </c>
      <c r="E90" s="9"/>
      <c r="F90" s="9"/>
      <c r="G90" s="9"/>
      <c r="H90" s="9"/>
      <c r="I90" s="9"/>
      <c r="J90" s="9"/>
      <c r="K90" s="9"/>
      <c r="L90" s="9"/>
    </row>
    <row r="91" spans="1:12" x14ac:dyDescent="0.25">
      <c r="D91" s="10" t="s">
        <v>5</v>
      </c>
      <c r="E91" s="11">
        <f t="shared" ref="E91:L91" si="12">SUM(E80:E90)</f>
        <v>85</v>
      </c>
      <c r="F91" s="11">
        <f t="shared" si="12"/>
        <v>55</v>
      </c>
      <c r="G91" s="11">
        <f t="shared" si="12"/>
        <v>60</v>
      </c>
      <c r="H91" s="11">
        <f t="shared" si="12"/>
        <v>45</v>
      </c>
      <c r="I91" s="11">
        <f t="shared" si="12"/>
        <v>15</v>
      </c>
      <c r="J91" s="11">
        <f t="shared" si="12"/>
        <v>0</v>
      </c>
      <c r="K91" s="11">
        <f t="shared" si="12"/>
        <v>0</v>
      </c>
      <c r="L91" s="11">
        <f t="shared" si="12"/>
        <v>15</v>
      </c>
    </row>
    <row r="92" spans="1:12" x14ac:dyDescent="0.25">
      <c r="A92" s="25" t="s">
        <v>6</v>
      </c>
    </row>
    <row r="93" spans="1:12" x14ac:dyDescent="0.25">
      <c r="B93" s="4" t="s">
        <v>74</v>
      </c>
      <c r="E93" s="9">
        <f>23.19+17</f>
        <v>40.19</v>
      </c>
      <c r="F93" s="9">
        <f>20.4378+19.322</f>
        <v>39.759799999999998</v>
      </c>
      <c r="G93" s="9"/>
      <c r="H93" s="9"/>
      <c r="I93" s="9"/>
      <c r="J93" s="9"/>
      <c r="K93" s="9"/>
      <c r="L93" s="9"/>
    </row>
    <row r="94" spans="1:12" x14ac:dyDescent="0.25">
      <c r="B94" s="4" t="s">
        <v>71</v>
      </c>
      <c r="E94" s="9"/>
      <c r="F94" s="9"/>
      <c r="G94" s="9">
        <v>20</v>
      </c>
      <c r="H94" s="9"/>
      <c r="I94" s="9"/>
      <c r="J94" s="9"/>
      <c r="K94" s="9"/>
      <c r="L94" s="9"/>
    </row>
    <row r="95" spans="1:12" x14ac:dyDescent="0.25">
      <c r="B95" s="4" t="s">
        <v>72</v>
      </c>
      <c r="E95" s="9"/>
      <c r="F95" s="9"/>
      <c r="G95" s="9"/>
      <c r="H95" s="9"/>
      <c r="I95" s="9"/>
      <c r="J95" s="9"/>
      <c r="K95" s="9"/>
      <c r="L95" s="9"/>
    </row>
    <row r="96" spans="1:12" x14ac:dyDescent="0.25">
      <c r="B96" s="4" t="s">
        <v>51</v>
      </c>
      <c r="E96" s="9"/>
      <c r="F96" s="9"/>
      <c r="G96" s="9"/>
      <c r="H96" s="9"/>
      <c r="I96" s="9"/>
      <c r="J96" s="9"/>
      <c r="K96" s="9"/>
      <c r="L96" s="9"/>
    </row>
    <row r="97" spans="1:12" x14ac:dyDescent="0.25">
      <c r="B97" s="4" t="s">
        <v>44</v>
      </c>
      <c r="E97" s="9"/>
      <c r="F97" s="9"/>
      <c r="G97" s="9">
        <v>20</v>
      </c>
      <c r="H97" s="9"/>
      <c r="I97" s="9"/>
      <c r="J97" s="9"/>
      <c r="K97" s="9"/>
      <c r="L97" s="9"/>
    </row>
    <row r="98" spans="1:12" x14ac:dyDescent="0.25">
      <c r="E98" s="9"/>
      <c r="F98" s="9"/>
      <c r="G98" s="9"/>
      <c r="H98" s="9"/>
      <c r="I98" s="9"/>
      <c r="J98" s="9"/>
      <c r="K98" s="9"/>
      <c r="L98" s="9"/>
    </row>
    <row r="99" spans="1:12" x14ac:dyDescent="0.25">
      <c r="E99" s="9"/>
      <c r="F99" s="9"/>
      <c r="G99" s="9">
        <v>3.0289999999999999</v>
      </c>
      <c r="H99" s="9"/>
      <c r="I99" s="9">
        <f>1.925+2.324</f>
        <v>4.2489999999999997</v>
      </c>
      <c r="J99" s="9"/>
      <c r="K99" s="9"/>
      <c r="L99" s="9"/>
    </row>
    <row r="100" spans="1:12" x14ac:dyDescent="0.25"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B105" s="4" t="s">
        <v>58</v>
      </c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B106" s="4" t="s">
        <v>8</v>
      </c>
      <c r="E106" s="9"/>
      <c r="F106" s="9"/>
      <c r="G106" s="9">
        <v>80</v>
      </c>
      <c r="H106" s="9"/>
      <c r="I106" s="9"/>
      <c r="J106" s="9"/>
      <c r="K106" s="9"/>
      <c r="L106" s="9"/>
    </row>
    <row r="107" spans="1:12" x14ac:dyDescent="0.25">
      <c r="D107" s="10" t="s">
        <v>7</v>
      </c>
      <c r="E107" s="11">
        <f t="shared" ref="E107:L107" si="13">SUM(E93:E106)</f>
        <v>40.19</v>
      </c>
      <c r="F107" s="11">
        <f t="shared" si="13"/>
        <v>39.759799999999998</v>
      </c>
      <c r="G107" s="11">
        <f t="shared" si="13"/>
        <v>123.029</v>
      </c>
      <c r="H107" s="11">
        <f t="shared" si="13"/>
        <v>0</v>
      </c>
      <c r="I107" s="11">
        <f t="shared" si="13"/>
        <v>4.2489999999999997</v>
      </c>
      <c r="J107" s="11">
        <f t="shared" si="13"/>
        <v>0</v>
      </c>
      <c r="K107" s="11">
        <f t="shared" si="13"/>
        <v>0</v>
      </c>
      <c r="L107" s="11">
        <f t="shared" si="13"/>
        <v>0</v>
      </c>
    </row>
    <row r="108" spans="1:12" x14ac:dyDescent="0.25">
      <c r="D108" s="8" t="s">
        <v>9</v>
      </c>
      <c r="E108" s="4">
        <f>+E91-E107</f>
        <v>44.81</v>
      </c>
      <c r="F108" s="4">
        <f t="shared" ref="F108:L108" si="14">+F91-F107</f>
        <v>15.240200000000002</v>
      </c>
      <c r="G108" s="4">
        <f t="shared" si="14"/>
        <v>-63.028999999999996</v>
      </c>
      <c r="H108" s="4">
        <f t="shared" si="14"/>
        <v>45</v>
      </c>
      <c r="I108" s="4">
        <f t="shared" si="14"/>
        <v>10.751000000000001</v>
      </c>
      <c r="J108" s="4">
        <f t="shared" si="14"/>
        <v>0</v>
      </c>
      <c r="K108" s="4">
        <f t="shared" si="14"/>
        <v>0</v>
      </c>
      <c r="L108" s="4">
        <f t="shared" si="14"/>
        <v>15</v>
      </c>
    </row>
    <row r="109" spans="1:12" ht="13.8" thickBot="1" x14ac:dyDescent="0.3">
      <c r="D109" s="8" t="s">
        <v>10</v>
      </c>
      <c r="E109" s="12">
        <f>+E79+E108</f>
        <v>-239.29000000000002</v>
      </c>
      <c r="F109" s="12">
        <f t="shared" ref="F109:L109" si="15">+F79+F108</f>
        <v>-224.0498</v>
      </c>
      <c r="G109" s="12">
        <f t="shared" si="15"/>
        <v>-287.0788</v>
      </c>
      <c r="H109" s="12">
        <f t="shared" si="15"/>
        <v>-242.0788</v>
      </c>
      <c r="I109" s="12">
        <f t="shared" si="15"/>
        <v>-231.3278</v>
      </c>
      <c r="J109" s="12">
        <f t="shared" si="15"/>
        <v>-231.3278</v>
      </c>
      <c r="K109" s="12">
        <f t="shared" si="15"/>
        <v>-231.3278</v>
      </c>
      <c r="L109" s="12">
        <f t="shared" si="15"/>
        <v>-216.3278</v>
      </c>
    </row>
    <row r="110" spans="1:12" ht="13.8" thickTop="1" x14ac:dyDescent="0.25"/>
    <row r="111" spans="1:12" x14ac:dyDescent="0.25">
      <c r="A111" s="26" t="s">
        <v>142</v>
      </c>
      <c r="B111" s="18"/>
      <c r="C111" s="18"/>
      <c r="D111" s="18"/>
      <c r="E111" s="8" t="s">
        <v>1</v>
      </c>
      <c r="F111" s="15"/>
      <c r="G111" s="7"/>
      <c r="H111" s="7"/>
    </row>
    <row r="112" spans="1:12" x14ac:dyDescent="0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D113" s="8" t="s">
        <v>12</v>
      </c>
      <c r="E113" s="9">
        <v>-205</v>
      </c>
      <c r="F113" s="4">
        <f>+E143</f>
        <v>-205</v>
      </c>
      <c r="G113" s="4">
        <f t="shared" ref="G113:L113" si="16">+F143</f>
        <v>-197.51</v>
      </c>
      <c r="H113" s="4">
        <f t="shared" si="16"/>
        <v>-196.691</v>
      </c>
      <c r="I113" s="4">
        <f t="shared" si="16"/>
        <v>-194.869</v>
      </c>
      <c r="J113" s="4">
        <f t="shared" si="16"/>
        <v>-193.869</v>
      </c>
      <c r="K113" s="4">
        <f t="shared" si="16"/>
        <v>-193.869</v>
      </c>
      <c r="L113" s="4">
        <f t="shared" si="16"/>
        <v>-193.869</v>
      </c>
    </row>
    <row r="114" spans="1:12" x14ac:dyDescent="0.25">
      <c r="A114" s="25" t="s">
        <v>4</v>
      </c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25"/>
      <c r="B115" s="4" t="s">
        <v>75</v>
      </c>
      <c r="E115" s="9"/>
      <c r="F115" s="9">
        <f>4.1+1.8</f>
        <v>5.8999999999999995</v>
      </c>
      <c r="G115" s="9"/>
      <c r="H115" s="9"/>
      <c r="I115" s="9"/>
      <c r="J115" s="9"/>
      <c r="K115" s="9"/>
      <c r="L115" s="9"/>
    </row>
    <row r="116" spans="1:12" x14ac:dyDescent="0.25">
      <c r="A116" s="25"/>
      <c r="B116" s="4" t="s">
        <v>76</v>
      </c>
      <c r="E116" s="9"/>
      <c r="F116" s="9">
        <v>1.59</v>
      </c>
      <c r="G116" s="9">
        <v>0.81899999999999995</v>
      </c>
      <c r="H116" s="9">
        <v>1.8220000000000001</v>
      </c>
      <c r="I116" s="9">
        <v>1</v>
      </c>
      <c r="J116" s="9"/>
      <c r="K116" s="9"/>
      <c r="L116" s="9">
        <v>1</v>
      </c>
    </row>
    <row r="117" spans="1:12" x14ac:dyDescent="0.25">
      <c r="A117" s="25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25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25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E120" s="9"/>
      <c r="F120" s="9"/>
      <c r="G120" s="9"/>
      <c r="H120" s="9"/>
      <c r="I120" s="9"/>
      <c r="J120" s="9"/>
      <c r="K120" s="9"/>
      <c r="L120" s="9"/>
    </row>
    <row r="121" spans="1:12" x14ac:dyDescent="0.25"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B123" s="4" t="s">
        <v>73</v>
      </c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B124" s="4" t="s">
        <v>8</v>
      </c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D125" s="10" t="s">
        <v>5</v>
      </c>
      <c r="E125" s="11">
        <f t="shared" ref="E125:L125" si="17">SUM(E114:E124)</f>
        <v>0</v>
      </c>
      <c r="F125" s="11">
        <f t="shared" si="17"/>
        <v>7.4899999999999993</v>
      </c>
      <c r="G125" s="11">
        <f t="shared" si="17"/>
        <v>0.81899999999999995</v>
      </c>
      <c r="H125" s="11">
        <f t="shared" si="17"/>
        <v>1.8220000000000001</v>
      </c>
      <c r="I125" s="11">
        <f t="shared" si="17"/>
        <v>1</v>
      </c>
      <c r="J125" s="11">
        <f t="shared" si="17"/>
        <v>0</v>
      </c>
      <c r="K125" s="11">
        <f t="shared" si="17"/>
        <v>0</v>
      </c>
      <c r="L125" s="11">
        <f t="shared" si="17"/>
        <v>1</v>
      </c>
    </row>
    <row r="126" spans="1:12" x14ac:dyDescent="0.25">
      <c r="A126" s="25" t="s">
        <v>6</v>
      </c>
    </row>
    <row r="127" spans="1:12" x14ac:dyDescent="0.25">
      <c r="A127" s="25"/>
      <c r="B127" s="4" t="s">
        <v>51</v>
      </c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5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5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5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5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5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B139" s="4" t="s">
        <v>73</v>
      </c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B140" s="4" t="s">
        <v>8</v>
      </c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D141" s="10" t="s">
        <v>7</v>
      </c>
      <c r="E141" s="11">
        <f>SUM(E127:E140)</f>
        <v>0</v>
      </c>
      <c r="F141" s="11">
        <f t="shared" ref="F141:L141" si="18">SUM(F127:F140)</f>
        <v>0</v>
      </c>
      <c r="G141" s="11">
        <f t="shared" si="18"/>
        <v>0</v>
      </c>
      <c r="H141" s="11">
        <f t="shared" si="18"/>
        <v>0</v>
      </c>
      <c r="I141" s="11">
        <f t="shared" si="18"/>
        <v>0</v>
      </c>
      <c r="J141" s="11">
        <f t="shared" si="18"/>
        <v>0</v>
      </c>
      <c r="K141" s="11">
        <f t="shared" si="18"/>
        <v>0</v>
      </c>
      <c r="L141" s="11">
        <f t="shared" si="18"/>
        <v>0</v>
      </c>
    </row>
    <row r="142" spans="1:12" x14ac:dyDescent="0.25">
      <c r="D142" s="8" t="s">
        <v>9</v>
      </c>
      <c r="E142" s="4">
        <f>+E125-E141</f>
        <v>0</v>
      </c>
      <c r="F142" s="4">
        <f t="shared" ref="F142:L142" si="19">+F125-F141</f>
        <v>7.4899999999999993</v>
      </c>
      <c r="G142" s="4">
        <f t="shared" si="19"/>
        <v>0.81899999999999995</v>
      </c>
      <c r="H142" s="4">
        <f t="shared" si="19"/>
        <v>1.8220000000000001</v>
      </c>
      <c r="I142" s="4">
        <f t="shared" si="19"/>
        <v>1</v>
      </c>
      <c r="J142" s="4">
        <f t="shared" si="19"/>
        <v>0</v>
      </c>
      <c r="K142" s="4">
        <f t="shared" si="19"/>
        <v>0</v>
      </c>
      <c r="L142" s="4">
        <f t="shared" si="19"/>
        <v>1</v>
      </c>
    </row>
    <row r="143" spans="1:12" ht="13.8" thickBot="1" x14ac:dyDescent="0.3">
      <c r="D143" s="8" t="s">
        <v>10</v>
      </c>
      <c r="E143" s="12">
        <f>+E113+E142</f>
        <v>-205</v>
      </c>
      <c r="F143" s="12">
        <f t="shared" ref="F143:L143" si="20">+F113+F142</f>
        <v>-197.51</v>
      </c>
      <c r="G143" s="12">
        <f t="shared" si="20"/>
        <v>-196.691</v>
      </c>
      <c r="H143" s="12">
        <f t="shared" si="20"/>
        <v>-194.869</v>
      </c>
      <c r="I143" s="12">
        <f t="shared" si="20"/>
        <v>-193.869</v>
      </c>
      <c r="J143" s="12">
        <f t="shared" si="20"/>
        <v>-193.869</v>
      </c>
      <c r="K143" s="12">
        <f t="shared" si="20"/>
        <v>-193.869</v>
      </c>
      <c r="L143" s="12">
        <f t="shared" si="20"/>
        <v>-192.869</v>
      </c>
    </row>
    <row r="144" spans="1:12" ht="13.8" thickTop="1" x14ac:dyDescent="0.25">
      <c r="D144" s="8"/>
    </row>
    <row r="145" spans="1:12" x14ac:dyDescent="0.25">
      <c r="A145" s="26" t="s">
        <v>148</v>
      </c>
      <c r="B145" s="18"/>
      <c r="C145" s="18"/>
      <c r="D145" s="18"/>
      <c r="E145" s="8" t="s">
        <v>1</v>
      </c>
      <c r="F145" s="15"/>
      <c r="G145" s="7"/>
      <c r="H145" s="7"/>
    </row>
    <row r="146" spans="1:12" x14ac:dyDescent="0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D147" s="8" t="s">
        <v>12</v>
      </c>
      <c r="E147" s="9">
        <v>-4.2</v>
      </c>
      <c r="F147" s="4">
        <f>+E177</f>
        <v>-65.346000000000004</v>
      </c>
      <c r="G147" s="4">
        <f t="shared" ref="G147:L147" si="21">+F177</f>
        <v>-67.74199999999999</v>
      </c>
      <c r="H147" s="4">
        <f t="shared" si="21"/>
        <v>-63.727699999999992</v>
      </c>
      <c r="I147" s="4">
        <f t="shared" si="21"/>
        <v>-92.056700000000006</v>
      </c>
      <c r="J147" s="4">
        <f t="shared" si="21"/>
        <v>-97.069700000000012</v>
      </c>
      <c r="K147" s="4">
        <f t="shared" si="21"/>
        <v>-97.069700000000012</v>
      </c>
      <c r="L147" s="4">
        <f t="shared" si="21"/>
        <v>-97.069700000000012</v>
      </c>
    </row>
    <row r="148" spans="1:12" x14ac:dyDescent="0.25">
      <c r="A148" s="25" t="s">
        <v>4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B149" s="4" t="s">
        <v>78</v>
      </c>
      <c r="E149" s="9">
        <f>22.053+3.4+12</f>
        <v>37.453000000000003</v>
      </c>
      <c r="F149" s="9">
        <f>12.191</f>
        <v>12.191000000000001</v>
      </c>
      <c r="G149" s="9">
        <f>6.3+10.45+19.6723</f>
        <v>36.4223</v>
      </c>
      <c r="H149" s="9"/>
      <c r="I149" s="9"/>
      <c r="J149" s="9"/>
      <c r="K149" s="9"/>
      <c r="L149" s="9"/>
    </row>
    <row r="150" spans="1:12" x14ac:dyDescent="0.25">
      <c r="B150" s="4" t="s">
        <v>77</v>
      </c>
      <c r="E150" s="9">
        <f>4.277</f>
        <v>4.2770000000000001</v>
      </c>
      <c r="F150" s="9">
        <v>7.9240000000000004</v>
      </c>
      <c r="G150" s="9"/>
      <c r="H150" s="9">
        <v>10</v>
      </c>
      <c r="I150" s="9"/>
      <c r="J150" s="9"/>
      <c r="K150" s="9"/>
      <c r="L150" s="9"/>
    </row>
    <row r="151" spans="1:12" x14ac:dyDescent="0.25">
      <c r="B151" s="4" t="s">
        <v>76</v>
      </c>
      <c r="E151" s="9">
        <v>1.5</v>
      </c>
      <c r="F151" s="9">
        <v>1.5</v>
      </c>
      <c r="G151" s="9">
        <v>1.5</v>
      </c>
      <c r="H151" s="9">
        <v>1.5</v>
      </c>
      <c r="I151" s="9">
        <v>1.5</v>
      </c>
      <c r="J151" s="9"/>
      <c r="K151" s="9"/>
      <c r="L151" s="9">
        <v>1.5</v>
      </c>
    </row>
    <row r="152" spans="1:12" x14ac:dyDescent="0.25">
      <c r="B152" s="4" t="s">
        <v>43</v>
      </c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B157" s="4" t="s">
        <v>73</v>
      </c>
      <c r="E157" s="9">
        <v>6</v>
      </c>
      <c r="F157" s="9">
        <v>50</v>
      </c>
      <c r="G157" s="9"/>
      <c r="H157" s="9">
        <v>20</v>
      </c>
      <c r="I157" s="9">
        <v>40</v>
      </c>
      <c r="J157" s="9"/>
      <c r="K157" s="9"/>
      <c r="L157" s="9"/>
    </row>
    <row r="158" spans="1:12" x14ac:dyDescent="0.25">
      <c r="B158" s="4" t="s">
        <v>8</v>
      </c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D159" s="10" t="s">
        <v>5</v>
      </c>
      <c r="E159" s="11">
        <f>SUM(E148:E158)</f>
        <v>49.230000000000004</v>
      </c>
      <c r="F159" s="11">
        <f t="shared" ref="F159:L159" si="22">SUM(F148:F158)</f>
        <v>71.615000000000009</v>
      </c>
      <c r="G159" s="11">
        <f t="shared" si="22"/>
        <v>37.9223</v>
      </c>
      <c r="H159" s="11">
        <f t="shared" si="22"/>
        <v>31.5</v>
      </c>
      <c r="I159" s="11">
        <f t="shared" si="22"/>
        <v>41.5</v>
      </c>
      <c r="J159" s="11">
        <f t="shared" si="22"/>
        <v>0</v>
      </c>
      <c r="K159" s="11">
        <f t="shared" si="22"/>
        <v>0</v>
      </c>
      <c r="L159" s="11">
        <f t="shared" si="22"/>
        <v>1.5</v>
      </c>
    </row>
    <row r="160" spans="1:12" x14ac:dyDescent="0.25">
      <c r="A160" s="25" t="s">
        <v>6</v>
      </c>
    </row>
    <row r="161" spans="2:12" x14ac:dyDescent="0.25">
      <c r="B161" s="4" t="s">
        <v>79</v>
      </c>
      <c r="E161" s="9">
        <v>12</v>
      </c>
      <c r="F161" s="9"/>
      <c r="G161" s="9"/>
      <c r="H161" s="9"/>
      <c r="I161" s="9"/>
      <c r="J161" s="9"/>
      <c r="K161" s="9"/>
      <c r="L161" s="9"/>
    </row>
    <row r="162" spans="2:12" x14ac:dyDescent="0.25">
      <c r="B162" s="4" t="s">
        <v>80</v>
      </c>
      <c r="E162" s="9">
        <v>98.376000000000005</v>
      </c>
      <c r="F162" s="9">
        <f>16.42+8+3+5.753+20.419+20.419</f>
        <v>74.010999999999996</v>
      </c>
      <c r="G162" s="9">
        <f>19.294+14.614</f>
        <v>33.908000000000001</v>
      </c>
      <c r="H162" s="9">
        <f>6.2+19.688+7.389+4.2+10.2+12.152</f>
        <v>59.829000000000008</v>
      </c>
      <c r="I162" s="9">
        <f>15.158+19.07+12.285</f>
        <v>46.513000000000005</v>
      </c>
      <c r="J162" s="9"/>
      <c r="K162" s="9"/>
      <c r="L162" s="9">
        <v>20</v>
      </c>
    </row>
    <row r="163" spans="2:12" x14ac:dyDescent="0.25">
      <c r="B163" s="4" t="s">
        <v>81</v>
      </c>
      <c r="E163" s="9"/>
      <c r="F163" s="9"/>
      <c r="G163" s="9"/>
      <c r="H163" s="9"/>
      <c r="I163" s="9"/>
      <c r="J163" s="9"/>
      <c r="K163" s="9"/>
      <c r="L163" s="9"/>
    </row>
    <row r="164" spans="2:12" x14ac:dyDescent="0.25">
      <c r="B164" s="4" t="s">
        <v>120</v>
      </c>
      <c r="E164" s="9"/>
      <c r="F164" s="9"/>
      <c r="G164" s="9"/>
      <c r="H164" s="9"/>
      <c r="I164" s="9"/>
      <c r="J164" s="9"/>
      <c r="K164" s="9"/>
      <c r="L164" s="9"/>
    </row>
    <row r="165" spans="2:12" x14ac:dyDescent="0.25">
      <c r="B165" s="4" t="s">
        <v>82</v>
      </c>
      <c r="E165" s="9"/>
      <c r="F165" s="9"/>
      <c r="G165" s="9"/>
      <c r="H165" s="9"/>
      <c r="I165" s="9"/>
      <c r="J165" s="9"/>
      <c r="K165" s="9"/>
      <c r="L165" s="9"/>
    </row>
    <row r="166" spans="2:12" x14ac:dyDescent="0.25">
      <c r="B166" s="4" t="s">
        <v>71</v>
      </c>
      <c r="E166" s="9"/>
      <c r="F166" s="9"/>
      <c r="G166" s="9"/>
      <c r="H166" s="9"/>
      <c r="I166" s="9"/>
      <c r="J166" s="9"/>
      <c r="K166" s="9"/>
      <c r="L166" s="9"/>
    </row>
    <row r="167" spans="2:12" x14ac:dyDescent="0.25">
      <c r="B167" s="4" t="s">
        <v>119</v>
      </c>
      <c r="E167" s="9"/>
      <c r="F167" s="9"/>
      <c r="G167" s="9"/>
      <c r="H167" s="9"/>
      <c r="I167" s="9"/>
      <c r="J167" s="9"/>
      <c r="K167" s="9"/>
      <c r="L167" s="9"/>
    </row>
    <row r="168" spans="2:12" x14ac:dyDescent="0.25">
      <c r="E168" s="9"/>
      <c r="F168" s="9"/>
      <c r="G168" s="9"/>
      <c r="H168" s="9"/>
      <c r="I168" s="9"/>
      <c r="J168" s="9"/>
      <c r="K168" s="9"/>
      <c r="L168" s="9"/>
    </row>
    <row r="169" spans="2:12" x14ac:dyDescent="0.25">
      <c r="E169" s="9"/>
      <c r="F169" s="9"/>
      <c r="G169" s="9"/>
      <c r="H169" s="9"/>
      <c r="I169" s="9"/>
      <c r="J169" s="9"/>
      <c r="K169" s="9"/>
      <c r="L169" s="9"/>
    </row>
    <row r="170" spans="2:12" x14ac:dyDescent="0.25">
      <c r="E170" s="9"/>
      <c r="F170" s="9"/>
      <c r="G170" s="9"/>
      <c r="H170" s="9"/>
      <c r="I170" s="9"/>
      <c r="J170" s="9"/>
      <c r="K170" s="9"/>
      <c r="L170" s="9"/>
    </row>
    <row r="171" spans="2:12" x14ac:dyDescent="0.25">
      <c r="E171" s="9"/>
      <c r="F171" s="9"/>
      <c r="G171" s="9"/>
      <c r="H171" s="9"/>
      <c r="I171" s="9"/>
      <c r="J171" s="9"/>
      <c r="K171" s="9"/>
      <c r="L171" s="9"/>
    </row>
    <row r="172" spans="2:12" x14ac:dyDescent="0.25">
      <c r="E172" s="9"/>
      <c r="F172" s="9"/>
      <c r="G172" s="9"/>
      <c r="H172" s="9"/>
      <c r="I172" s="9"/>
      <c r="J172" s="9"/>
      <c r="K172" s="9"/>
      <c r="L172" s="9"/>
    </row>
    <row r="173" spans="2:12" x14ac:dyDescent="0.25">
      <c r="B173" s="4" t="s">
        <v>73</v>
      </c>
      <c r="E173" s="9"/>
      <c r="F173" s="9"/>
      <c r="G173" s="9"/>
      <c r="H173" s="9"/>
      <c r="I173" s="9"/>
      <c r="J173" s="9"/>
      <c r="K173" s="9"/>
      <c r="L173" s="9"/>
    </row>
    <row r="174" spans="2:12" x14ac:dyDescent="0.25">
      <c r="B174" s="4" t="s">
        <v>8</v>
      </c>
      <c r="E174" s="9"/>
      <c r="F174" s="9"/>
      <c r="G174" s="9"/>
      <c r="H174" s="9"/>
      <c r="I174" s="9"/>
      <c r="J174" s="9"/>
      <c r="K174" s="9"/>
      <c r="L174" s="9"/>
    </row>
    <row r="175" spans="2:12" x14ac:dyDescent="0.25">
      <c r="D175" s="10" t="s">
        <v>7</v>
      </c>
      <c r="E175" s="11">
        <f t="shared" ref="E175:L175" si="23">SUM(E161:E174)</f>
        <v>110.376</v>
      </c>
      <c r="F175" s="11">
        <f t="shared" si="23"/>
        <v>74.010999999999996</v>
      </c>
      <c r="G175" s="11">
        <f t="shared" si="23"/>
        <v>33.908000000000001</v>
      </c>
      <c r="H175" s="11">
        <f t="shared" si="23"/>
        <v>59.829000000000008</v>
      </c>
      <c r="I175" s="11">
        <f t="shared" si="23"/>
        <v>46.513000000000005</v>
      </c>
      <c r="J175" s="11">
        <f t="shared" si="23"/>
        <v>0</v>
      </c>
      <c r="K175" s="11">
        <f t="shared" si="23"/>
        <v>0</v>
      </c>
      <c r="L175" s="11">
        <f t="shared" si="23"/>
        <v>20</v>
      </c>
    </row>
    <row r="176" spans="2:12" x14ac:dyDescent="0.25">
      <c r="D176" s="8" t="s">
        <v>9</v>
      </c>
      <c r="E176" s="4">
        <f t="shared" ref="E176:L176" si="24">+E159-E175</f>
        <v>-61.146000000000001</v>
      </c>
      <c r="F176" s="4">
        <f t="shared" si="24"/>
        <v>-2.3959999999999866</v>
      </c>
      <c r="G176" s="4">
        <f t="shared" si="24"/>
        <v>4.0142999999999986</v>
      </c>
      <c r="H176" s="4">
        <f t="shared" si="24"/>
        <v>-28.329000000000008</v>
      </c>
      <c r="I176" s="4">
        <f t="shared" si="24"/>
        <v>-5.0130000000000052</v>
      </c>
      <c r="J176" s="4">
        <f t="shared" si="24"/>
        <v>0</v>
      </c>
      <c r="K176" s="4">
        <f t="shared" si="24"/>
        <v>0</v>
      </c>
      <c r="L176" s="4">
        <f t="shared" si="24"/>
        <v>-18.5</v>
      </c>
    </row>
    <row r="177" spans="1:12" x14ac:dyDescent="0.25">
      <c r="D177" s="8" t="s">
        <v>10</v>
      </c>
      <c r="E177" s="4">
        <f>+E147+E176</f>
        <v>-65.346000000000004</v>
      </c>
      <c r="F177" s="4">
        <f t="shared" ref="F177:L177" si="25">+F147+F176</f>
        <v>-67.74199999999999</v>
      </c>
      <c r="G177" s="4">
        <f t="shared" si="25"/>
        <v>-63.727699999999992</v>
      </c>
      <c r="H177" s="4">
        <f t="shared" si="25"/>
        <v>-92.056700000000006</v>
      </c>
      <c r="I177" s="4">
        <f t="shared" si="25"/>
        <v>-97.069700000000012</v>
      </c>
      <c r="J177" s="4">
        <f t="shared" si="25"/>
        <v>-97.069700000000012</v>
      </c>
      <c r="K177" s="4">
        <f t="shared" si="25"/>
        <v>-97.069700000000012</v>
      </c>
      <c r="L177" s="4">
        <f t="shared" si="25"/>
        <v>-115.56970000000001</v>
      </c>
    </row>
    <row r="179" spans="1:12" x14ac:dyDescent="0.25">
      <c r="A179" s="29" t="s">
        <v>155</v>
      </c>
      <c r="B179" s="30"/>
      <c r="C179" s="30"/>
      <c r="D179" s="30"/>
      <c r="E179" s="8" t="s">
        <v>1</v>
      </c>
      <c r="F179" s="15">
        <v>0</v>
      </c>
      <c r="G179" s="7"/>
      <c r="H179" s="7"/>
    </row>
    <row r="180" spans="1:12" x14ac:dyDescent="0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D181" s="8" t="s">
        <v>12</v>
      </c>
      <c r="E181" s="9"/>
      <c r="F181" s="4">
        <f>+E211</f>
        <v>0</v>
      </c>
      <c r="G181" s="4">
        <f t="shared" ref="G181:L181" si="26">+F211</f>
        <v>0</v>
      </c>
      <c r="H181" s="4">
        <f t="shared" si="26"/>
        <v>0</v>
      </c>
      <c r="I181" s="4">
        <f t="shared" si="26"/>
        <v>0</v>
      </c>
      <c r="J181" s="4">
        <f t="shared" si="26"/>
        <v>0</v>
      </c>
      <c r="K181" s="4">
        <f t="shared" si="26"/>
        <v>0</v>
      </c>
      <c r="L181" s="4">
        <f t="shared" si="26"/>
        <v>0</v>
      </c>
    </row>
    <row r="182" spans="1:12" x14ac:dyDescent="0.25">
      <c r="A182" s="25" t="s">
        <v>4</v>
      </c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25"/>
      <c r="E183" s="9"/>
      <c r="F183" s="9"/>
      <c r="G183" s="9"/>
      <c r="H183" s="9"/>
      <c r="I183" s="9"/>
      <c r="J183" s="9"/>
      <c r="K183" s="9"/>
      <c r="L183" s="9"/>
    </row>
    <row r="184" spans="1:12" x14ac:dyDescent="0.25">
      <c r="A184" s="25"/>
      <c r="E184" s="9"/>
      <c r="F184" s="9"/>
      <c r="G184" s="9"/>
      <c r="H184" s="9"/>
      <c r="I184" s="9"/>
      <c r="J184" s="9"/>
      <c r="K184" s="9"/>
      <c r="L184" s="9"/>
    </row>
    <row r="185" spans="1:12" x14ac:dyDescent="0.25">
      <c r="A185" s="25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25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25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B192" s="4" t="s">
        <v>8</v>
      </c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D193" s="10" t="s">
        <v>5</v>
      </c>
      <c r="E193" s="11">
        <f t="shared" ref="E193:L193" si="27">SUM(E182:E192)</f>
        <v>0</v>
      </c>
      <c r="F193" s="11">
        <f t="shared" si="27"/>
        <v>0</v>
      </c>
      <c r="G193" s="11">
        <f t="shared" si="27"/>
        <v>0</v>
      </c>
      <c r="H193" s="11">
        <f t="shared" si="27"/>
        <v>0</v>
      </c>
      <c r="I193" s="11">
        <f t="shared" si="27"/>
        <v>0</v>
      </c>
      <c r="J193" s="11">
        <f t="shared" si="27"/>
        <v>0</v>
      </c>
      <c r="K193" s="11">
        <f t="shared" si="27"/>
        <v>0</v>
      </c>
      <c r="L193" s="11">
        <f t="shared" si="27"/>
        <v>0</v>
      </c>
    </row>
    <row r="194" spans="1:12" x14ac:dyDescent="0.25">
      <c r="A194" s="25" t="s">
        <v>6</v>
      </c>
    </row>
    <row r="195" spans="1:12" x14ac:dyDescent="0.25"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E198" s="9"/>
      <c r="F198" s="9"/>
      <c r="G198" s="9"/>
      <c r="H198" s="9"/>
      <c r="I198" s="9"/>
      <c r="J198" s="9"/>
      <c r="K198" s="9"/>
      <c r="L198" s="9"/>
    </row>
    <row r="199" spans="1:12" x14ac:dyDescent="0.25"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E200" s="9"/>
      <c r="F200" s="9"/>
      <c r="G200" s="9"/>
      <c r="H200" s="9"/>
      <c r="I200" s="9"/>
      <c r="J200" s="9"/>
      <c r="K200" s="9"/>
      <c r="L200" s="9"/>
    </row>
    <row r="201" spans="1:12" x14ac:dyDescent="0.25">
      <c r="E201" s="9"/>
      <c r="F201" s="9"/>
      <c r="G201" s="9"/>
      <c r="H201" s="9"/>
      <c r="I201" s="9"/>
      <c r="J201" s="9"/>
      <c r="K201" s="9"/>
      <c r="L201" s="9"/>
    </row>
    <row r="202" spans="1:12" x14ac:dyDescent="0.25">
      <c r="E202" s="9"/>
      <c r="F202" s="9"/>
      <c r="G202" s="9"/>
      <c r="H202" s="9"/>
      <c r="I202" s="9"/>
      <c r="J202" s="9"/>
      <c r="K202" s="9"/>
      <c r="L202" s="9"/>
    </row>
    <row r="203" spans="1:12" x14ac:dyDescent="0.25">
      <c r="E203" s="9"/>
      <c r="F203" s="9"/>
      <c r="G203" s="9"/>
      <c r="H203" s="9"/>
      <c r="I203" s="9"/>
      <c r="J203" s="9"/>
      <c r="K203" s="9"/>
      <c r="L203" s="9"/>
    </row>
    <row r="204" spans="1:12" x14ac:dyDescent="0.25">
      <c r="E204" s="9"/>
      <c r="F204" s="9"/>
      <c r="G204" s="9"/>
      <c r="H204" s="9"/>
      <c r="I204" s="9"/>
      <c r="J204" s="9"/>
      <c r="K204" s="9"/>
      <c r="L204" s="9"/>
    </row>
    <row r="205" spans="1:12" x14ac:dyDescent="0.25">
      <c r="E205" s="9"/>
      <c r="F205" s="9"/>
      <c r="G205" s="9"/>
      <c r="H205" s="9"/>
      <c r="I205" s="9"/>
      <c r="J205" s="9"/>
      <c r="K205" s="9"/>
      <c r="L205" s="9"/>
    </row>
    <row r="206" spans="1:12" x14ac:dyDescent="0.25">
      <c r="E206" s="9"/>
      <c r="F206" s="9"/>
      <c r="G206" s="9"/>
      <c r="H206" s="9"/>
      <c r="I206" s="9"/>
      <c r="J206" s="9"/>
      <c r="K206" s="9"/>
      <c r="L206" s="9"/>
    </row>
    <row r="207" spans="1:12" x14ac:dyDescent="0.25">
      <c r="E207" s="9"/>
      <c r="F207" s="9"/>
      <c r="G207" s="9"/>
      <c r="H207" s="9"/>
      <c r="I207" s="9"/>
      <c r="J207" s="9"/>
      <c r="K207" s="9"/>
      <c r="L207" s="9"/>
    </row>
    <row r="208" spans="1:12" x14ac:dyDescent="0.25">
      <c r="B208" s="4" t="s">
        <v>8</v>
      </c>
      <c r="E208" s="9"/>
      <c r="F208" s="9"/>
      <c r="G208" s="9"/>
      <c r="H208" s="9"/>
      <c r="I208" s="9"/>
      <c r="J208" s="9"/>
      <c r="K208" s="9"/>
      <c r="L208" s="9"/>
    </row>
    <row r="209" spans="1:12" x14ac:dyDescent="0.25">
      <c r="D209" s="10" t="s">
        <v>7</v>
      </c>
      <c r="E209" s="11">
        <f t="shared" ref="E209:L209" si="28">SUM(E195:E208)</f>
        <v>0</v>
      </c>
      <c r="F209" s="11">
        <f t="shared" si="28"/>
        <v>0</v>
      </c>
      <c r="G209" s="11">
        <f t="shared" si="28"/>
        <v>0</v>
      </c>
      <c r="H209" s="11">
        <f t="shared" si="28"/>
        <v>0</v>
      </c>
      <c r="I209" s="11">
        <f t="shared" si="28"/>
        <v>0</v>
      </c>
      <c r="J209" s="11">
        <f t="shared" si="28"/>
        <v>0</v>
      </c>
      <c r="K209" s="11">
        <f t="shared" si="28"/>
        <v>0</v>
      </c>
      <c r="L209" s="11">
        <f t="shared" si="28"/>
        <v>0</v>
      </c>
    </row>
    <row r="210" spans="1:12" x14ac:dyDescent="0.25">
      <c r="D210" s="8" t="s">
        <v>9</v>
      </c>
      <c r="E210" s="4">
        <f t="shared" ref="E210:L210" si="29">+E193-E209</f>
        <v>0</v>
      </c>
      <c r="F210" s="4">
        <f t="shared" si="29"/>
        <v>0</v>
      </c>
      <c r="G210" s="4">
        <f t="shared" si="29"/>
        <v>0</v>
      </c>
      <c r="H210" s="4">
        <f t="shared" si="29"/>
        <v>0</v>
      </c>
      <c r="I210" s="4">
        <f t="shared" si="29"/>
        <v>0</v>
      </c>
      <c r="J210" s="4">
        <f t="shared" si="29"/>
        <v>0</v>
      </c>
      <c r="K210" s="4">
        <f t="shared" si="29"/>
        <v>0</v>
      </c>
      <c r="L210" s="4">
        <f t="shared" si="29"/>
        <v>0</v>
      </c>
    </row>
    <row r="211" spans="1:12" ht="13.8" thickBot="1" x14ac:dyDescent="0.3">
      <c r="D211" s="8" t="s">
        <v>10</v>
      </c>
      <c r="E211" s="12">
        <f t="shared" ref="E211:L211" si="30">+E181+E210</f>
        <v>0</v>
      </c>
      <c r="F211" s="12">
        <f t="shared" si="30"/>
        <v>0</v>
      </c>
      <c r="G211" s="12">
        <f t="shared" si="30"/>
        <v>0</v>
      </c>
      <c r="H211" s="12">
        <f t="shared" si="30"/>
        <v>0</v>
      </c>
      <c r="I211" s="12">
        <f t="shared" si="30"/>
        <v>0</v>
      </c>
      <c r="J211" s="12">
        <f t="shared" si="30"/>
        <v>0</v>
      </c>
      <c r="K211" s="12">
        <f t="shared" si="30"/>
        <v>0</v>
      </c>
      <c r="L211" s="12">
        <f t="shared" si="30"/>
        <v>0</v>
      </c>
    </row>
    <row r="212" spans="1:12" ht="13.8" thickTop="1" x14ac:dyDescent="0.25">
      <c r="D212" s="8"/>
    </row>
    <row r="213" spans="1:12" x14ac:dyDescent="0.25">
      <c r="A213" s="29" t="s">
        <v>143</v>
      </c>
      <c r="B213" s="30"/>
      <c r="C213" s="30"/>
      <c r="D213" s="30"/>
      <c r="E213" s="8" t="s">
        <v>1</v>
      </c>
      <c r="F213" s="15"/>
      <c r="G213" s="7"/>
      <c r="H213" s="7"/>
    </row>
    <row r="214" spans="1:12" x14ac:dyDescent="0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D215" s="8" t="s">
        <v>12</v>
      </c>
      <c r="E215" s="9">
        <v>-16</v>
      </c>
      <c r="F215" s="4">
        <f>+E245</f>
        <v>-16</v>
      </c>
      <c r="G215" s="4">
        <f t="shared" ref="G215:L215" si="31">+F245</f>
        <v>-22</v>
      </c>
      <c r="H215" s="4">
        <f t="shared" si="31"/>
        <v>-22</v>
      </c>
      <c r="I215" s="4">
        <f t="shared" si="31"/>
        <v>-22</v>
      </c>
      <c r="J215" s="4">
        <f t="shared" si="31"/>
        <v>-22</v>
      </c>
      <c r="K215" s="4">
        <f t="shared" si="31"/>
        <v>-22</v>
      </c>
      <c r="L215" s="4">
        <f t="shared" si="31"/>
        <v>-22</v>
      </c>
    </row>
    <row r="216" spans="1:12" x14ac:dyDescent="0.25">
      <c r="A216" s="25" t="s">
        <v>4</v>
      </c>
      <c r="E216" s="9"/>
      <c r="F216" s="9"/>
      <c r="G216" s="9"/>
      <c r="H216" s="9"/>
      <c r="I216" s="9"/>
      <c r="J216" s="9"/>
      <c r="K216" s="9"/>
      <c r="L216" s="9"/>
    </row>
    <row r="217" spans="1:12" x14ac:dyDescent="0.25">
      <c r="A217" s="25"/>
      <c r="B217" s="4" t="s">
        <v>43</v>
      </c>
      <c r="E217" s="9"/>
      <c r="F217" s="9"/>
      <c r="G217" s="9"/>
      <c r="H217" s="9"/>
      <c r="I217" s="9"/>
      <c r="J217" s="9"/>
      <c r="K217" s="9"/>
      <c r="L217" s="9"/>
    </row>
    <row r="218" spans="1:12" x14ac:dyDescent="0.25">
      <c r="A218" s="25"/>
      <c r="E218" s="9"/>
      <c r="F218" s="9"/>
      <c r="G218" s="9"/>
      <c r="H218" s="9"/>
      <c r="I218" s="9"/>
      <c r="J218" s="9"/>
      <c r="K218" s="9"/>
      <c r="L218" s="9"/>
    </row>
    <row r="219" spans="1:12" x14ac:dyDescent="0.25">
      <c r="A219" s="25"/>
      <c r="E219" s="9"/>
      <c r="F219" s="9"/>
      <c r="G219" s="9"/>
      <c r="H219" s="9"/>
      <c r="I219" s="9"/>
      <c r="J219" s="9"/>
      <c r="K219" s="9"/>
      <c r="L219" s="9"/>
    </row>
    <row r="220" spans="1:12" x14ac:dyDescent="0.25">
      <c r="A220" s="25"/>
      <c r="E220" s="9"/>
      <c r="F220" s="9"/>
      <c r="G220" s="9"/>
      <c r="H220" s="9"/>
      <c r="I220" s="9"/>
      <c r="J220" s="9"/>
      <c r="K220" s="9"/>
      <c r="L220" s="9"/>
    </row>
    <row r="221" spans="1:12" x14ac:dyDescent="0.25">
      <c r="A221" s="25"/>
      <c r="E221" s="9"/>
      <c r="F221" s="9"/>
      <c r="G221" s="9"/>
      <c r="H221" s="9"/>
      <c r="I221" s="9"/>
      <c r="J221" s="9"/>
      <c r="K221" s="9"/>
      <c r="L221" s="9"/>
    </row>
    <row r="222" spans="1:12" x14ac:dyDescent="0.25">
      <c r="E222" s="9"/>
      <c r="F222" s="9"/>
      <c r="G222" s="9"/>
      <c r="H222" s="9"/>
      <c r="I222" s="9"/>
      <c r="J222" s="9"/>
      <c r="K222" s="9"/>
      <c r="L222" s="9"/>
    </row>
    <row r="223" spans="1:12" x14ac:dyDescent="0.25">
      <c r="E223" s="9"/>
      <c r="F223" s="9"/>
      <c r="G223" s="9"/>
      <c r="H223" s="9"/>
      <c r="I223" s="9"/>
      <c r="J223" s="9"/>
      <c r="K223" s="9"/>
      <c r="L223" s="9"/>
    </row>
    <row r="224" spans="1:12" x14ac:dyDescent="0.25">
      <c r="E224" s="9"/>
      <c r="F224" s="9"/>
      <c r="G224" s="9"/>
      <c r="H224" s="9"/>
      <c r="I224" s="9"/>
      <c r="J224" s="9"/>
      <c r="K224" s="9"/>
      <c r="L224" s="9"/>
    </row>
    <row r="225" spans="1:12" x14ac:dyDescent="0.25">
      <c r="E225" s="9"/>
      <c r="F225" s="9"/>
      <c r="G225" s="9"/>
      <c r="H225" s="9"/>
      <c r="I225" s="9"/>
      <c r="J225" s="9"/>
      <c r="K225" s="9"/>
      <c r="L225" s="9"/>
    </row>
    <row r="226" spans="1:12" x14ac:dyDescent="0.25">
      <c r="B226" s="4" t="s">
        <v>8</v>
      </c>
      <c r="E226" s="9"/>
      <c r="F226" s="9"/>
      <c r="G226" s="9"/>
      <c r="H226" s="9"/>
      <c r="I226" s="9"/>
      <c r="J226" s="9"/>
      <c r="K226" s="9"/>
      <c r="L226" s="9"/>
    </row>
    <row r="227" spans="1:12" x14ac:dyDescent="0.25">
      <c r="D227" s="10" t="s">
        <v>5</v>
      </c>
      <c r="E227" s="11">
        <f t="shared" ref="E227:L227" si="32">SUM(E216:E226)</f>
        <v>0</v>
      </c>
      <c r="F227" s="11">
        <f t="shared" si="32"/>
        <v>0</v>
      </c>
      <c r="G227" s="11">
        <f t="shared" si="32"/>
        <v>0</v>
      </c>
      <c r="H227" s="11">
        <f t="shared" si="32"/>
        <v>0</v>
      </c>
      <c r="I227" s="11">
        <f t="shared" si="32"/>
        <v>0</v>
      </c>
      <c r="J227" s="11">
        <f t="shared" si="32"/>
        <v>0</v>
      </c>
      <c r="K227" s="11">
        <f t="shared" si="32"/>
        <v>0</v>
      </c>
      <c r="L227" s="11">
        <f t="shared" si="32"/>
        <v>0</v>
      </c>
    </row>
    <row r="228" spans="1:12" x14ac:dyDescent="0.25">
      <c r="A228" s="25" t="s">
        <v>6</v>
      </c>
    </row>
    <row r="229" spans="1:12" x14ac:dyDescent="0.25">
      <c r="B229" s="4" t="s">
        <v>71</v>
      </c>
      <c r="E229" s="9"/>
      <c r="F229" s="9">
        <v>6</v>
      </c>
      <c r="G229" s="9"/>
      <c r="H229" s="9"/>
      <c r="I229" s="9"/>
      <c r="J229" s="9"/>
      <c r="K229" s="9"/>
      <c r="L229" s="9"/>
    </row>
    <row r="230" spans="1:12" x14ac:dyDescent="0.25">
      <c r="B230" s="4" t="s">
        <v>102</v>
      </c>
      <c r="E230" s="9"/>
      <c r="F230" s="9"/>
      <c r="G230" s="9"/>
      <c r="H230" s="9"/>
      <c r="I230" s="9"/>
      <c r="J230" s="9"/>
      <c r="K230" s="9"/>
      <c r="L230" s="9"/>
    </row>
    <row r="231" spans="1:12" x14ac:dyDescent="0.25">
      <c r="B231" s="4" t="s">
        <v>44</v>
      </c>
      <c r="E231" s="9"/>
      <c r="F231" s="9"/>
      <c r="G231" s="9"/>
      <c r="H231" s="9"/>
      <c r="I231" s="9"/>
      <c r="J231" s="9"/>
      <c r="K231" s="9"/>
      <c r="L231" s="9"/>
    </row>
    <row r="232" spans="1:12" x14ac:dyDescent="0.25">
      <c r="E232" s="9"/>
      <c r="F232" s="9"/>
      <c r="G232" s="9"/>
      <c r="H232" s="9"/>
      <c r="I232" s="9"/>
      <c r="J232" s="9"/>
      <c r="K232" s="9"/>
      <c r="L232" s="9"/>
    </row>
    <row r="233" spans="1:12" x14ac:dyDescent="0.25"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E234" s="9"/>
      <c r="F234" s="9"/>
      <c r="G234" s="9"/>
      <c r="H234" s="9"/>
      <c r="I234" s="9"/>
      <c r="J234" s="9"/>
      <c r="K234" s="9"/>
      <c r="L234" s="9"/>
    </row>
    <row r="235" spans="1:12" x14ac:dyDescent="0.25">
      <c r="E235" s="9"/>
      <c r="F235" s="9"/>
      <c r="G235" s="9"/>
      <c r="H235" s="9"/>
      <c r="I235" s="9"/>
      <c r="J235" s="9"/>
      <c r="K235" s="9"/>
      <c r="L235" s="9"/>
    </row>
    <row r="236" spans="1:12" x14ac:dyDescent="0.25">
      <c r="E236" s="9"/>
      <c r="F236" s="9"/>
      <c r="G236" s="9"/>
      <c r="H236" s="9"/>
      <c r="I236" s="9"/>
      <c r="J236" s="9"/>
      <c r="K236" s="9"/>
      <c r="L236" s="9"/>
    </row>
    <row r="237" spans="1:12" x14ac:dyDescent="0.25">
      <c r="E237" s="9"/>
      <c r="F237" s="9"/>
      <c r="G237" s="9"/>
      <c r="H237" s="9"/>
      <c r="I237" s="9"/>
      <c r="J237" s="9"/>
      <c r="K237" s="9"/>
      <c r="L237" s="9"/>
    </row>
    <row r="238" spans="1:12" x14ac:dyDescent="0.25">
      <c r="E238" s="9"/>
      <c r="F238" s="9"/>
      <c r="G238" s="9"/>
      <c r="H238" s="9"/>
      <c r="I238" s="9"/>
      <c r="J238" s="9"/>
      <c r="K238" s="9"/>
      <c r="L238" s="9"/>
    </row>
    <row r="239" spans="1:12" x14ac:dyDescent="0.25">
      <c r="E239" s="9"/>
      <c r="F239" s="9"/>
      <c r="G239" s="9"/>
      <c r="H239" s="9"/>
      <c r="I239" s="9"/>
      <c r="J239" s="9"/>
      <c r="K239" s="9"/>
      <c r="L239" s="9"/>
    </row>
    <row r="240" spans="1:12" x14ac:dyDescent="0.25">
      <c r="E240" s="9"/>
      <c r="F240" s="9"/>
      <c r="G240" s="9"/>
      <c r="H240" s="9"/>
      <c r="I240" s="9"/>
      <c r="J240" s="9"/>
      <c r="K240" s="9"/>
      <c r="L240" s="9"/>
    </row>
    <row r="241" spans="1:12" x14ac:dyDescent="0.25">
      <c r="E241" s="9"/>
      <c r="F241" s="9"/>
      <c r="G241" s="9"/>
      <c r="H241" s="9"/>
      <c r="I241" s="9"/>
      <c r="J241" s="9"/>
      <c r="K241" s="9"/>
      <c r="L241" s="9"/>
    </row>
    <row r="242" spans="1:12" x14ac:dyDescent="0.25">
      <c r="B242" s="4" t="s">
        <v>8</v>
      </c>
      <c r="E242" s="9"/>
      <c r="F242" s="9"/>
      <c r="G242" s="9"/>
      <c r="H242" s="9"/>
      <c r="I242" s="9"/>
      <c r="J242" s="9"/>
      <c r="K242" s="9"/>
      <c r="L242" s="9"/>
    </row>
    <row r="243" spans="1:12" x14ac:dyDescent="0.25">
      <c r="D243" s="10" t="s">
        <v>7</v>
      </c>
      <c r="E243" s="11">
        <f t="shared" ref="E243:L243" si="33">SUM(E229:E242)</f>
        <v>0</v>
      </c>
      <c r="F243" s="11">
        <f t="shared" si="33"/>
        <v>6</v>
      </c>
      <c r="G243" s="11">
        <f t="shared" si="33"/>
        <v>0</v>
      </c>
      <c r="H243" s="11">
        <f t="shared" si="33"/>
        <v>0</v>
      </c>
      <c r="I243" s="11">
        <f t="shared" si="33"/>
        <v>0</v>
      </c>
      <c r="J243" s="11">
        <f t="shared" si="33"/>
        <v>0</v>
      </c>
      <c r="K243" s="11">
        <f t="shared" si="33"/>
        <v>0</v>
      </c>
      <c r="L243" s="11">
        <f t="shared" si="33"/>
        <v>0</v>
      </c>
    </row>
    <row r="244" spans="1:12" x14ac:dyDescent="0.25">
      <c r="D244" s="8" t="s">
        <v>9</v>
      </c>
      <c r="E244" s="4">
        <f>+E227-E243</f>
        <v>0</v>
      </c>
      <c r="F244" s="4">
        <f t="shared" ref="F244:L244" si="34">+F227-F243</f>
        <v>-6</v>
      </c>
      <c r="G244" s="4">
        <f t="shared" si="34"/>
        <v>0</v>
      </c>
      <c r="H244" s="4">
        <f t="shared" si="34"/>
        <v>0</v>
      </c>
      <c r="I244" s="4">
        <f t="shared" si="34"/>
        <v>0</v>
      </c>
      <c r="J244" s="4">
        <f t="shared" si="34"/>
        <v>0</v>
      </c>
      <c r="K244" s="4">
        <f t="shared" si="34"/>
        <v>0</v>
      </c>
      <c r="L244" s="4">
        <f t="shared" si="34"/>
        <v>0</v>
      </c>
    </row>
    <row r="245" spans="1:12" ht="13.8" thickBot="1" x14ac:dyDescent="0.3">
      <c r="D245" s="8" t="s">
        <v>10</v>
      </c>
      <c r="E245" s="12">
        <f>+E215+E244</f>
        <v>-16</v>
      </c>
      <c r="F245" s="12">
        <f t="shared" ref="F245:L245" si="35">+F215+F244</f>
        <v>-22</v>
      </c>
      <c r="G245" s="12">
        <f t="shared" si="35"/>
        <v>-22</v>
      </c>
      <c r="H245" s="12">
        <f t="shared" si="35"/>
        <v>-22</v>
      </c>
      <c r="I245" s="12">
        <f t="shared" si="35"/>
        <v>-22</v>
      </c>
      <c r="J245" s="12">
        <f t="shared" si="35"/>
        <v>-22</v>
      </c>
      <c r="K245" s="12">
        <f t="shared" si="35"/>
        <v>-22</v>
      </c>
      <c r="L245" s="12">
        <f t="shared" si="35"/>
        <v>-22</v>
      </c>
    </row>
    <row r="246" spans="1:12" ht="13.8" thickTop="1" x14ac:dyDescent="0.25"/>
    <row r="247" spans="1:12" x14ac:dyDescent="0.25">
      <c r="A247" s="29" t="s">
        <v>155</v>
      </c>
      <c r="B247" s="30"/>
      <c r="C247" s="30"/>
      <c r="D247" s="30"/>
      <c r="E247" s="8" t="s">
        <v>1</v>
      </c>
      <c r="F247" s="15">
        <v>0</v>
      </c>
      <c r="G247" s="7"/>
      <c r="H247" s="7"/>
    </row>
    <row r="248" spans="1:12" x14ac:dyDescent="0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D249" s="8" t="s">
        <v>12</v>
      </c>
      <c r="E249" s="9"/>
      <c r="F249" s="4">
        <f t="shared" ref="F249:L249" si="36">+E279</f>
        <v>0</v>
      </c>
      <c r="G249" s="4">
        <f t="shared" si="36"/>
        <v>0</v>
      </c>
      <c r="H249" s="4">
        <f t="shared" si="36"/>
        <v>0</v>
      </c>
      <c r="I249" s="4">
        <f t="shared" si="36"/>
        <v>0</v>
      </c>
      <c r="J249" s="4">
        <f t="shared" si="36"/>
        <v>0</v>
      </c>
      <c r="K249" s="4">
        <f t="shared" si="36"/>
        <v>0</v>
      </c>
      <c r="L249" s="4">
        <f t="shared" si="36"/>
        <v>0</v>
      </c>
    </row>
    <row r="250" spans="1:12" x14ac:dyDescent="0.25">
      <c r="A250" s="25" t="s">
        <v>4</v>
      </c>
      <c r="E250" s="9"/>
      <c r="F250" s="9"/>
      <c r="G250" s="9"/>
      <c r="H250" s="9"/>
      <c r="I250" s="9"/>
      <c r="J250" s="9"/>
      <c r="K250" s="9"/>
      <c r="L250" s="9"/>
    </row>
    <row r="251" spans="1:12" x14ac:dyDescent="0.25">
      <c r="A251" s="25"/>
      <c r="E251" s="9"/>
      <c r="F251" s="9"/>
      <c r="G251" s="9"/>
      <c r="H251" s="9"/>
      <c r="I251" s="9"/>
      <c r="J251" s="9"/>
      <c r="K251" s="9"/>
      <c r="L251" s="9"/>
    </row>
    <row r="252" spans="1:12" x14ac:dyDescent="0.25">
      <c r="A252" s="25"/>
      <c r="E252" s="9"/>
      <c r="F252" s="9"/>
      <c r="G252" s="9"/>
      <c r="H252" s="9"/>
      <c r="I252" s="9"/>
      <c r="J252" s="9"/>
      <c r="K252" s="9"/>
      <c r="L252" s="9"/>
    </row>
    <row r="253" spans="1:12" x14ac:dyDescent="0.25">
      <c r="A253" s="25"/>
      <c r="E253" s="9"/>
      <c r="F253" s="9"/>
      <c r="G253" s="9"/>
      <c r="H253" s="9"/>
      <c r="I253" s="9"/>
      <c r="J253" s="9"/>
      <c r="K253" s="9"/>
      <c r="L253" s="9"/>
    </row>
    <row r="254" spans="1:12" x14ac:dyDescent="0.25">
      <c r="A254" s="25"/>
      <c r="E254" s="9"/>
      <c r="F254" s="9"/>
      <c r="G254" s="9"/>
      <c r="H254" s="9"/>
      <c r="I254" s="9"/>
      <c r="J254" s="9"/>
      <c r="K254" s="9"/>
      <c r="L254" s="9"/>
    </row>
    <row r="255" spans="1:12" x14ac:dyDescent="0.25">
      <c r="A255" s="25"/>
      <c r="E255" s="9"/>
      <c r="F255" s="9"/>
      <c r="G255" s="9"/>
      <c r="H255" s="9"/>
      <c r="I255" s="9"/>
      <c r="J255" s="9"/>
      <c r="K255" s="9"/>
      <c r="L255" s="9"/>
    </row>
    <row r="256" spans="1:12" x14ac:dyDescent="0.25">
      <c r="E256" s="9"/>
      <c r="F256" s="9"/>
      <c r="G256" s="9"/>
      <c r="H256" s="9"/>
      <c r="I256" s="9"/>
      <c r="J256" s="9"/>
      <c r="K256" s="9"/>
      <c r="L256" s="9"/>
    </row>
    <row r="257" spans="1:12" x14ac:dyDescent="0.25">
      <c r="E257" s="9"/>
      <c r="F257" s="9"/>
      <c r="G257" s="9"/>
      <c r="H257" s="9"/>
      <c r="I257" s="9"/>
      <c r="J257" s="9"/>
      <c r="K257" s="9"/>
      <c r="L257" s="9"/>
    </row>
    <row r="258" spans="1:12" x14ac:dyDescent="0.25">
      <c r="E258" s="9"/>
      <c r="F258" s="9"/>
      <c r="G258" s="9"/>
      <c r="H258" s="9"/>
      <c r="I258" s="9"/>
      <c r="J258" s="9"/>
      <c r="K258" s="9"/>
      <c r="L258" s="9"/>
    </row>
    <row r="259" spans="1:12" x14ac:dyDescent="0.25">
      <c r="E259" s="9"/>
      <c r="F259" s="9"/>
      <c r="G259" s="9"/>
      <c r="H259" s="9"/>
      <c r="I259" s="9"/>
      <c r="J259" s="9"/>
      <c r="K259" s="9"/>
      <c r="L259" s="9"/>
    </row>
    <row r="260" spans="1:12" x14ac:dyDescent="0.25">
      <c r="B260" s="4" t="s">
        <v>8</v>
      </c>
      <c r="E260" s="9"/>
      <c r="F260" s="9"/>
      <c r="G260" s="9"/>
      <c r="H260" s="9"/>
      <c r="I260" s="9"/>
      <c r="J260" s="9"/>
      <c r="K260" s="9"/>
      <c r="L260" s="9"/>
    </row>
    <row r="261" spans="1:12" x14ac:dyDescent="0.25">
      <c r="D261" s="10" t="s">
        <v>5</v>
      </c>
      <c r="E261" s="11">
        <f t="shared" ref="E261:L261" si="37">SUM(E250:E260)</f>
        <v>0</v>
      </c>
      <c r="F261" s="11">
        <f t="shared" si="37"/>
        <v>0</v>
      </c>
      <c r="G261" s="11">
        <f t="shared" si="37"/>
        <v>0</v>
      </c>
      <c r="H261" s="11">
        <f t="shared" si="37"/>
        <v>0</v>
      </c>
      <c r="I261" s="11">
        <f t="shared" si="37"/>
        <v>0</v>
      </c>
      <c r="J261" s="11">
        <f t="shared" si="37"/>
        <v>0</v>
      </c>
      <c r="K261" s="11">
        <f t="shared" si="37"/>
        <v>0</v>
      </c>
      <c r="L261" s="11">
        <f t="shared" si="37"/>
        <v>0</v>
      </c>
    </row>
    <row r="262" spans="1:12" x14ac:dyDescent="0.25">
      <c r="A262" s="25" t="s">
        <v>6</v>
      </c>
    </row>
    <row r="263" spans="1:12" x14ac:dyDescent="0.25">
      <c r="E263" s="9"/>
      <c r="F263" s="9"/>
      <c r="G263" s="9"/>
      <c r="H263" s="9"/>
      <c r="I263" s="9"/>
      <c r="J263" s="9"/>
      <c r="K263" s="9"/>
      <c r="L263" s="9"/>
    </row>
    <row r="264" spans="1:12" x14ac:dyDescent="0.25">
      <c r="E264" s="9"/>
      <c r="F264" s="9"/>
      <c r="G264" s="9"/>
      <c r="H264" s="9"/>
      <c r="I264" s="9"/>
      <c r="J264" s="9"/>
      <c r="K264" s="9"/>
      <c r="L264" s="9"/>
    </row>
    <row r="265" spans="1:12" x14ac:dyDescent="0.25">
      <c r="E265" s="9"/>
      <c r="F265" s="9"/>
      <c r="G265" s="9"/>
      <c r="H265" s="9"/>
      <c r="I265" s="9"/>
      <c r="J265" s="9"/>
      <c r="K265" s="9"/>
      <c r="L265" s="9"/>
    </row>
    <row r="266" spans="1:12" x14ac:dyDescent="0.25"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E268" s="9"/>
      <c r="F268" s="9"/>
      <c r="G268" s="9"/>
      <c r="H268" s="9"/>
      <c r="I268" s="9"/>
      <c r="J268" s="9"/>
      <c r="K268" s="9"/>
      <c r="L268" s="9"/>
    </row>
    <row r="269" spans="1:12" x14ac:dyDescent="0.25">
      <c r="E269" s="9"/>
      <c r="F269" s="9"/>
      <c r="G269" s="9"/>
      <c r="H269" s="9"/>
      <c r="I269" s="9"/>
      <c r="J269" s="9"/>
      <c r="K269" s="9"/>
      <c r="L269" s="9"/>
    </row>
    <row r="270" spans="1:12" x14ac:dyDescent="0.25">
      <c r="E270" s="9"/>
      <c r="F270" s="9"/>
      <c r="G270" s="9"/>
      <c r="H270" s="9"/>
      <c r="I270" s="9"/>
      <c r="J270" s="9"/>
      <c r="K270" s="9"/>
      <c r="L270" s="9"/>
    </row>
    <row r="271" spans="1:12" x14ac:dyDescent="0.25">
      <c r="E271" s="9"/>
      <c r="F271" s="9"/>
      <c r="G271" s="9"/>
      <c r="H271" s="9"/>
      <c r="I271" s="9"/>
      <c r="J271" s="9"/>
      <c r="K271" s="9"/>
      <c r="L271" s="9"/>
    </row>
    <row r="272" spans="1:12" x14ac:dyDescent="0.25">
      <c r="E272" s="9"/>
      <c r="F272" s="9"/>
      <c r="G272" s="9"/>
      <c r="H272" s="9"/>
      <c r="I272" s="9"/>
      <c r="J272" s="9"/>
      <c r="K272" s="9"/>
      <c r="L272" s="9"/>
    </row>
    <row r="273" spans="2:12" x14ac:dyDescent="0.25">
      <c r="E273" s="9"/>
      <c r="F273" s="9"/>
      <c r="G273" s="9"/>
      <c r="H273" s="9"/>
      <c r="I273" s="9"/>
      <c r="J273" s="9"/>
      <c r="K273" s="9"/>
      <c r="L273" s="9"/>
    </row>
    <row r="274" spans="2:12" x14ac:dyDescent="0.25">
      <c r="E274" s="9"/>
      <c r="F274" s="9"/>
      <c r="G274" s="9"/>
      <c r="H274" s="9"/>
      <c r="I274" s="9"/>
      <c r="J274" s="9"/>
      <c r="K274" s="9"/>
      <c r="L274" s="9"/>
    </row>
    <row r="275" spans="2:12" x14ac:dyDescent="0.25">
      <c r="E275" s="9"/>
      <c r="F275" s="9"/>
      <c r="G275" s="9"/>
      <c r="H275" s="9"/>
      <c r="I275" s="9"/>
      <c r="J275" s="9"/>
      <c r="K275" s="9"/>
      <c r="L275" s="9"/>
    </row>
    <row r="276" spans="2:12" x14ac:dyDescent="0.25">
      <c r="B276" s="4" t="s">
        <v>8</v>
      </c>
      <c r="E276" s="9"/>
      <c r="F276" s="9"/>
      <c r="G276" s="9"/>
      <c r="H276" s="9"/>
      <c r="I276" s="9"/>
      <c r="J276" s="9"/>
      <c r="K276" s="9"/>
      <c r="L276" s="9"/>
    </row>
    <row r="277" spans="2:12" x14ac:dyDescent="0.25">
      <c r="D277" s="10" t="s">
        <v>7</v>
      </c>
      <c r="E277" s="11">
        <f t="shared" ref="E277:L277" si="38">SUM(E263:E276)</f>
        <v>0</v>
      </c>
      <c r="F277" s="11">
        <f t="shared" si="38"/>
        <v>0</v>
      </c>
      <c r="G277" s="11">
        <f t="shared" si="38"/>
        <v>0</v>
      </c>
      <c r="H277" s="11">
        <f t="shared" si="38"/>
        <v>0</v>
      </c>
      <c r="I277" s="11">
        <f t="shared" si="38"/>
        <v>0</v>
      </c>
      <c r="J277" s="11">
        <f t="shared" si="38"/>
        <v>0</v>
      </c>
      <c r="K277" s="11">
        <f t="shared" si="38"/>
        <v>0</v>
      </c>
      <c r="L277" s="11">
        <f t="shared" si="38"/>
        <v>0</v>
      </c>
    </row>
    <row r="278" spans="2:12" x14ac:dyDescent="0.25">
      <c r="D278" s="8" t="s">
        <v>9</v>
      </c>
      <c r="E278" s="4">
        <f t="shared" ref="E278:L278" si="39">+E261-E277</f>
        <v>0</v>
      </c>
      <c r="F278" s="4">
        <f t="shared" si="39"/>
        <v>0</v>
      </c>
      <c r="G278" s="4">
        <f t="shared" si="39"/>
        <v>0</v>
      </c>
      <c r="H278" s="4">
        <f t="shared" si="39"/>
        <v>0</v>
      </c>
      <c r="I278" s="4">
        <f t="shared" si="39"/>
        <v>0</v>
      </c>
      <c r="J278" s="4">
        <f t="shared" si="39"/>
        <v>0</v>
      </c>
      <c r="K278" s="4">
        <f t="shared" si="39"/>
        <v>0</v>
      </c>
      <c r="L278" s="4">
        <f t="shared" si="39"/>
        <v>0</v>
      </c>
    </row>
    <row r="279" spans="2:12" ht="13.8" thickBot="1" x14ac:dyDescent="0.3">
      <c r="D279" s="8" t="s">
        <v>10</v>
      </c>
      <c r="E279" s="12">
        <f t="shared" ref="E279:L279" si="40">+E249+E278</f>
        <v>0</v>
      </c>
      <c r="F279" s="12">
        <f t="shared" si="40"/>
        <v>0</v>
      </c>
      <c r="G279" s="12">
        <f t="shared" si="40"/>
        <v>0</v>
      </c>
      <c r="H279" s="12">
        <f t="shared" si="40"/>
        <v>0</v>
      </c>
      <c r="I279" s="12">
        <f t="shared" si="40"/>
        <v>0</v>
      </c>
      <c r="J279" s="12">
        <f t="shared" si="40"/>
        <v>0</v>
      </c>
      <c r="K279" s="12">
        <f t="shared" si="40"/>
        <v>0</v>
      </c>
      <c r="L279" s="12">
        <f t="shared" si="40"/>
        <v>0</v>
      </c>
    </row>
    <row r="281" spans="2:12" x14ac:dyDescent="0.25">
      <c r="D281" s="13" t="s">
        <v>14</v>
      </c>
      <c r="E281" s="4">
        <f t="shared" ref="E281:L281" si="41">E21-E38+E55-E72+E90-E106+E124-E140+E158-E174+E192-E208+E226-E242+E260-E276</f>
        <v>0</v>
      </c>
      <c r="F281" s="4">
        <f t="shared" si="41"/>
        <v>0</v>
      </c>
      <c r="G281" s="4">
        <f t="shared" si="41"/>
        <v>0</v>
      </c>
      <c r="H281" s="4">
        <f t="shared" si="41"/>
        <v>0</v>
      </c>
      <c r="I281" s="4">
        <f t="shared" si="41"/>
        <v>0</v>
      </c>
      <c r="J281" s="4">
        <f t="shared" si="41"/>
        <v>0</v>
      </c>
      <c r="K281" s="4">
        <f t="shared" si="41"/>
        <v>0</v>
      </c>
      <c r="L281" s="4">
        <f t="shared" si="41"/>
        <v>0</v>
      </c>
    </row>
    <row r="282" spans="2:12" x14ac:dyDescent="0.25">
      <c r="D282" s="14"/>
      <c r="E282" s="5" t="str">
        <f t="shared" ref="E282:L282" si="42">IF(E281=0,"i.O.","Fehler")</f>
        <v>i.O.</v>
      </c>
      <c r="F282" s="5" t="str">
        <f t="shared" si="42"/>
        <v>i.O.</v>
      </c>
      <c r="G282" s="5" t="str">
        <f t="shared" si="42"/>
        <v>i.O.</v>
      </c>
      <c r="H282" s="5" t="str">
        <f t="shared" si="42"/>
        <v>i.O.</v>
      </c>
      <c r="I282" s="5" t="str">
        <f t="shared" si="42"/>
        <v>i.O.</v>
      </c>
      <c r="J282" s="5" t="str">
        <f t="shared" si="42"/>
        <v>i.O.</v>
      </c>
      <c r="K282" s="5" t="str">
        <f t="shared" si="42"/>
        <v>i.O.</v>
      </c>
      <c r="L282" s="5" t="str">
        <f t="shared" si="42"/>
        <v>i.O.</v>
      </c>
    </row>
  </sheetData>
  <mergeCells count="4">
    <mergeCell ref="A179:D179"/>
    <mergeCell ref="A43:D43"/>
    <mergeCell ref="A213:D213"/>
    <mergeCell ref="A247:D247"/>
  </mergeCells>
  <phoneticPr fontId="0" type="noConversion"/>
  <pageMargins left="0.78740157499999996" right="0.78740157499999996" top="0.984251969" bottom="0.984251969" header="0.4921259845" footer="0.4921259845"/>
  <pageSetup paperSize="9" scale="87" fitToHeight="0" orientation="landscape" r:id="rId1"/>
  <headerFooter alignWithMargins="0">
    <oddFooter>&amp;L&amp;F &amp;A&amp;R&amp;D &amp;T</oddFooter>
  </headerFooter>
  <rowBreaks count="3" manualBreakCount="3">
    <brk id="41" max="11" man="1"/>
    <brk id="109" max="11" man="1"/>
    <brk id="177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925E-A928-4351-AB96-ED7F536B5729}">
  <sheetPr codeName="Tabelle3"/>
  <dimension ref="A1:N282"/>
  <sheetViews>
    <sheetView zoomScale="80" zoomScaleNormal="80" workbookViewId="0">
      <pane xSplit="4" ySplit="7" topLeftCell="E8" activePane="bottomRight" state="frozen"/>
      <selection activeCell="E5" sqref="E5:AD5"/>
      <selection pane="topRight" activeCell="E5" sqref="E5:AD5"/>
      <selection pane="bottomLeft" activeCell="E5" sqref="E5:AD5"/>
      <selection pane="bottomRight" activeCell="D22" sqref="D22"/>
    </sheetView>
  </sheetViews>
  <sheetFormatPr baseColWidth="10" defaultColWidth="11.44140625" defaultRowHeight="13.2" x14ac:dyDescent="0.25"/>
  <cols>
    <col min="1" max="1" width="2.88671875" style="16" customWidth="1"/>
    <col min="2" max="3" width="2.88671875" style="4" customWidth="1"/>
    <col min="4" max="4" width="20.88671875" style="4" customWidth="1"/>
    <col min="5" max="5" width="11.44140625" style="4"/>
    <col min="6" max="6" width="11.88671875" style="4" customWidth="1"/>
    <col min="7" max="16384" width="11.44140625" style="4"/>
  </cols>
  <sheetData>
    <row r="1" spans="1:14" ht="17.399999999999999" x14ac:dyDescent="0.3">
      <c r="A1" s="20" t="s">
        <v>136</v>
      </c>
      <c r="B1" s="3"/>
      <c r="C1" s="3"/>
      <c r="D1" s="3"/>
      <c r="E1" s="3"/>
      <c r="F1" s="3"/>
      <c r="G1" s="3"/>
      <c r="I1" s="4" t="s">
        <v>29</v>
      </c>
      <c r="K1" s="19">
        <v>38971</v>
      </c>
    </row>
    <row r="2" spans="1:14" x14ac:dyDescent="0.25">
      <c r="J2" s="4" t="s">
        <v>30</v>
      </c>
    </row>
    <row r="3" spans="1:14" ht="15.6" x14ac:dyDescent="0.3">
      <c r="A3" s="21" t="s">
        <v>0</v>
      </c>
    </row>
    <row r="4" spans="1:14" x14ac:dyDescent="0.25">
      <c r="A4" s="22" t="s">
        <v>11</v>
      </c>
    </row>
    <row r="5" spans="1:14" x14ac:dyDescent="0.25">
      <c r="E5" s="5" t="str">
        <f>+Holding!E5</f>
        <v>Montag</v>
      </c>
      <c r="F5" s="5" t="str">
        <f>+Holding!F5</f>
        <v>Dienstag</v>
      </c>
      <c r="G5" s="5" t="str">
        <f>+Holding!G5</f>
        <v>Mittwoch</v>
      </c>
      <c r="H5" s="5" t="str">
        <f>+Holding!H5</f>
        <v>Donnerstag</v>
      </c>
      <c r="I5" s="5" t="str">
        <f>+Holding!I5</f>
        <v>Freitag</v>
      </c>
      <c r="J5" s="5" t="str">
        <f>+Holding!J5</f>
        <v>Samstag</v>
      </c>
      <c r="K5" s="5" t="str">
        <f>+Holding!K5</f>
        <v>Sonntag</v>
      </c>
      <c r="L5" s="5" t="str">
        <f>+Holding!L5</f>
        <v>Montag</v>
      </c>
    </row>
    <row r="6" spans="1:14" s="1" customFormat="1" x14ac:dyDescent="0.25">
      <c r="A6" s="23"/>
      <c r="E6" s="1">
        <v>45870</v>
      </c>
      <c r="F6" s="1">
        <f t="shared" ref="F6:L6" si="0">+E6+1</f>
        <v>45871</v>
      </c>
      <c r="G6" s="1">
        <f t="shared" si="0"/>
        <v>45872</v>
      </c>
      <c r="H6" s="1">
        <f t="shared" si="0"/>
        <v>45873</v>
      </c>
      <c r="I6" s="1">
        <f t="shared" si="0"/>
        <v>45874</v>
      </c>
      <c r="J6" s="1">
        <f t="shared" si="0"/>
        <v>45875</v>
      </c>
      <c r="K6" s="1">
        <f t="shared" si="0"/>
        <v>45876</v>
      </c>
      <c r="L6" s="1">
        <f t="shared" si="0"/>
        <v>45877</v>
      </c>
    </row>
    <row r="7" spans="1:14" s="5" customFormat="1" x14ac:dyDescent="0.25">
      <c r="A7" s="24"/>
      <c r="B7" s="6"/>
      <c r="C7" s="6"/>
      <c r="D7" s="6" t="s">
        <v>2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</row>
    <row r="8" spans="1:14" x14ac:dyDescent="0.25">
      <c r="A8" s="17" t="str">
        <f>+Grunddaten!B20</f>
        <v>Bank 1</v>
      </c>
      <c r="B8" s="18"/>
      <c r="C8" s="18"/>
      <c r="D8" s="18"/>
      <c r="E8" s="8" t="s">
        <v>1</v>
      </c>
      <c r="F8" s="15">
        <f>+Grunddaten!D20</f>
        <v>0</v>
      </c>
      <c r="G8" s="7"/>
    </row>
    <row r="9" spans="1:14" s="5" customFormat="1" x14ac:dyDescent="0.25">
      <c r="A9" s="23"/>
      <c r="N9" s="4"/>
    </row>
    <row r="10" spans="1:14" x14ac:dyDescent="0.25">
      <c r="D10" s="8" t="s">
        <v>12</v>
      </c>
      <c r="E10" s="9">
        <v>140</v>
      </c>
      <c r="F10" s="4">
        <f t="shared" ref="F10:L10" si="1">+E41</f>
        <v>108.6</v>
      </c>
      <c r="G10" s="4">
        <f t="shared" si="1"/>
        <v>53.3</v>
      </c>
      <c r="H10" s="4">
        <f t="shared" si="1"/>
        <v>53.3</v>
      </c>
      <c r="I10" s="4">
        <f t="shared" si="1"/>
        <v>53.3</v>
      </c>
      <c r="J10" s="4">
        <f t="shared" si="1"/>
        <v>25.299999999999997</v>
      </c>
      <c r="K10" s="4">
        <f t="shared" si="1"/>
        <v>25.299999999999997</v>
      </c>
      <c r="L10" s="4">
        <f t="shared" si="1"/>
        <v>25.299999999999997</v>
      </c>
    </row>
    <row r="11" spans="1:14" x14ac:dyDescent="0.25">
      <c r="A11" s="25" t="s">
        <v>4</v>
      </c>
      <c r="E11" s="9"/>
      <c r="F11" s="9"/>
      <c r="G11" s="9"/>
      <c r="H11" s="9"/>
      <c r="I11" s="9"/>
      <c r="J11" s="9"/>
      <c r="K11" s="9"/>
      <c r="L11" s="9"/>
    </row>
    <row r="12" spans="1:14" x14ac:dyDescent="0.25">
      <c r="D12" s="4" t="s">
        <v>43</v>
      </c>
      <c r="E12" s="9"/>
      <c r="F12" s="9"/>
      <c r="G12" s="9"/>
      <c r="H12" s="9"/>
      <c r="I12" s="9"/>
      <c r="J12" s="9"/>
      <c r="K12" s="9"/>
      <c r="L12" s="9"/>
    </row>
    <row r="13" spans="1:14" x14ac:dyDescent="0.25">
      <c r="E13" s="9"/>
      <c r="F13" s="9"/>
      <c r="G13" s="9"/>
      <c r="H13" s="9"/>
      <c r="I13" s="9"/>
      <c r="J13" s="9"/>
      <c r="K13" s="9"/>
      <c r="L13" s="9"/>
    </row>
    <row r="14" spans="1:14" x14ac:dyDescent="0.25">
      <c r="D14" s="4" t="s">
        <v>129</v>
      </c>
      <c r="E14" s="9"/>
      <c r="F14" s="9"/>
      <c r="G14" s="9"/>
      <c r="H14" s="9"/>
      <c r="I14" s="9"/>
      <c r="J14" s="9"/>
      <c r="K14" s="9"/>
      <c r="L14" s="9"/>
    </row>
    <row r="15" spans="1:14" x14ac:dyDescent="0.25">
      <c r="E15" s="9"/>
      <c r="F15" s="9"/>
      <c r="G15" s="9"/>
      <c r="H15" s="9"/>
      <c r="I15" s="9"/>
      <c r="J15" s="9"/>
      <c r="K15" s="9"/>
      <c r="L15" s="9"/>
    </row>
    <row r="16" spans="1:14" x14ac:dyDescent="0.25">
      <c r="E16" s="9"/>
      <c r="F16" s="9"/>
      <c r="G16" s="9"/>
      <c r="H16" s="9"/>
      <c r="I16" s="9"/>
      <c r="J16" s="9"/>
      <c r="K16" s="9"/>
      <c r="L16" s="9"/>
    </row>
    <row r="17" spans="1:12" x14ac:dyDescent="0.25">
      <c r="E17" s="9"/>
      <c r="F17" s="9"/>
      <c r="G17" s="9"/>
      <c r="H17" s="9"/>
      <c r="I17" s="9"/>
      <c r="J17" s="9"/>
      <c r="K17" s="9"/>
      <c r="L17" s="9"/>
    </row>
    <row r="18" spans="1:12" x14ac:dyDescent="0.25">
      <c r="E18" s="9"/>
      <c r="F18" s="9"/>
      <c r="G18" s="9"/>
      <c r="H18" s="9"/>
      <c r="I18" s="9"/>
      <c r="J18" s="9"/>
      <c r="K18" s="9"/>
      <c r="L18" s="9"/>
    </row>
    <row r="19" spans="1:12" x14ac:dyDescent="0.25">
      <c r="E19" s="9"/>
      <c r="F19" s="9"/>
      <c r="G19" s="9"/>
      <c r="H19" s="9"/>
      <c r="I19" s="9"/>
      <c r="J19" s="9"/>
      <c r="K19" s="9"/>
      <c r="L19" s="9"/>
    </row>
    <row r="20" spans="1:12" x14ac:dyDescent="0.25">
      <c r="B20" s="4" t="s">
        <v>8</v>
      </c>
      <c r="E20" s="9"/>
      <c r="F20" s="9"/>
      <c r="G20" s="9"/>
      <c r="H20" s="9"/>
      <c r="I20" s="9"/>
      <c r="J20" s="9"/>
      <c r="K20" s="9"/>
      <c r="L20" s="9"/>
    </row>
    <row r="21" spans="1:12" x14ac:dyDescent="0.25">
      <c r="D21" s="10" t="s">
        <v>5</v>
      </c>
      <c r="E21" s="11">
        <f>SUM(E11:E20)</f>
        <v>0</v>
      </c>
      <c r="F21" s="11">
        <f t="shared" ref="F21:L21" si="2">SUM(F11:F20)</f>
        <v>0</v>
      </c>
      <c r="G21" s="11">
        <f t="shared" si="2"/>
        <v>0</v>
      </c>
      <c r="H21" s="11">
        <f t="shared" si="2"/>
        <v>0</v>
      </c>
      <c r="I21" s="11">
        <f t="shared" si="2"/>
        <v>0</v>
      </c>
      <c r="J21" s="11">
        <f t="shared" si="2"/>
        <v>0</v>
      </c>
      <c r="K21" s="11">
        <f t="shared" si="2"/>
        <v>0</v>
      </c>
      <c r="L21" s="11">
        <f t="shared" si="2"/>
        <v>0</v>
      </c>
    </row>
    <row r="22" spans="1:12" x14ac:dyDescent="0.25">
      <c r="A22" s="25" t="s">
        <v>6</v>
      </c>
    </row>
    <row r="23" spans="1:12" x14ac:dyDescent="0.25">
      <c r="D23" s="4" t="s">
        <v>87</v>
      </c>
      <c r="E23" s="27">
        <v>1.5</v>
      </c>
      <c r="F23" s="27"/>
      <c r="G23" s="9"/>
      <c r="H23" s="9"/>
      <c r="I23" s="9"/>
      <c r="J23" s="9"/>
      <c r="K23" s="9"/>
      <c r="L23" s="9"/>
    </row>
    <row r="24" spans="1:12" x14ac:dyDescent="0.25">
      <c r="D24" s="4" t="s">
        <v>83</v>
      </c>
      <c r="E24" s="27"/>
      <c r="F24" s="27"/>
      <c r="G24" s="9"/>
      <c r="H24" s="9"/>
      <c r="I24" s="9"/>
      <c r="J24" s="9"/>
      <c r="K24" s="9"/>
      <c r="L24" s="9"/>
    </row>
    <row r="25" spans="1:12" x14ac:dyDescent="0.25">
      <c r="D25" s="4" t="s">
        <v>84</v>
      </c>
      <c r="E25" s="27"/>
      <c r="F25" s="27"/>
      <c r="G25" s="9"/>
      <c r="H25" s="9"/>
      <c r="I25" s="9"/>
      <c r="J25" s="9"/>
      <c r="K25" s="9"/>
      <c r="L25" s="9"/>
    </row>
    <row r="26" spans="1:12" x14ac:dyDescent="0.25">
      <c r="D26" s="4" t="s">
        <v>109</v>
      </c>
      <c r="E26" s="27"/>
      <c r="F26" s="27"/>
      <c r="G26" s="9"/>
      <c r="H26" s="9"/>
      <c r="I26" s="9"/>
      <c r="J26" s="9"/>
      <c r="K26" s="9"/>
      <c r="L26" s="9"/>
    </row>
    <row r="27" spans="1:12" x14ac:dyDescent="0.25">
      <c r="D27" s="4" t="s">
        <v>123</v>
      </c>
      <c r="E27" s="27"/>
      <c r="F27" s="27"/>
      <c r="G27" s="9"/>
      <c r="H27" s="9"/>
      <c r="I27" s="9"/>
      <c r="J27" s="9"/>
      <c r="K27" s="9"/>
      <c r="L27" s="9"/>
    </row>
    <row r="28" spans="1:12" x14ac:dyDescent="0.25">
      <c r="D28" s="4" t="s">
        <v>125</v>
      </c>
      <c r="E28" s="27"/>
      <c r="F28" s="27"/>
      <c r="G28" s="9"/>
      <c r="H28" s="9"/>
      <c r="I28" s="9">
        <v>28</v>
      </c>
      <c r="J28" s="9"/>
      <c r="K28" s="9"/>
      <c r="L28" s="9"/>
    </row>
    <row r="29" spans="1:12" x14ac:dyDescent="0.25">
      <c r="D29" s="4" t="s">
        <v>128</v>
      </c>
      <c r="E29" s="27"/>
      <c r="F29" s="27"/>
      <c r="G29" s="9"/>
      <c r="H29" s="9"/>
      <c r="I29" s="9"/>
      <c r="J29" s="9"/>
      <c r="K29" s="9"/>
      <c r="L29" s="9"/>
    </row>
    <row r="30" spans="1:12" x14ac:dyDescent="0.25">
      <c r="D30" s="4" t="s">
        <v>131</v>
      </c>
      <c r="E30" s="27">
        <v>29.9</v>
      </c>
      <c r="F30" s="27">
        <f>18.8+8.6+27.9</f>
        <v>55.3</v>
      </c>
      <c r="G30" s="9"/>
      <c r="H30" s="9"/>
      <c r="I30" s="9"/>
      <c r="J30" s="9"/>
      <c r="K30" s="9"/>
      <c r="L30" s="9"/>
    </row>
    <row r="31" spans="1:12" x14ac:dyDescent="0.25">
      <c r="E31" s="27"/>
      <c r="F31" s="27"/>
      <c r="G31" s="9"/>
      <c r="H31" s="9"/>
      <c r="I31" s="9"/>
      <c r="J31" s="9"/>
      <c r="K31" s="9"/>
      <c r="L31" s="9"/>
    </row>
    <row r="32" spans="1:12" x14ac:dyDescent="0.25">
      <c r="E32" s="9"/>
      <c r="F32" s="9"/>
      <c r="G32" s="9"/>
      <c r="H32" s="9"/>
      <c r="I32" s="9"/>
      <c r="J32" s="9"/>
      <c r="K32" s="9"/>
      <c r="L32" s="9"/>
    </row>
    <row r="33" spans="1:12" x14ac:dyDescent="0.25">
      <c r="E33" s="9"/>
      <c r="F33" s="9"/>
      <c r="G33" s="9"/>
      <c r="H33" s="9"/>
      <c r="I33" s="9"/>
      <c r="J33" s="9"/>
      <c r="K33" s="9"/>
      <c r="L33" s="9"/>
    </row>
    <row r="34" spans="1:12" x14ac:dyDescent="0.25">
      <c r="E34" s="9"/>
      <c r="F34" s="9"/>
      <c r="G34" s="9"/>
      <c r="H34" s="9"/>
      <c r="I34" s="9"/>
      <c r="J34" s="9"/>
      <c r="K34" s="9"/>
      <c r="L34" s="9"/>
    </row>
    <row r="35" spans="1:12" x14ac:dyDescent="0.25">
      <c r="E35" s="9"/>
      <c r="F35" s="9"/>
      <c r="G35" s="9"/>
      <c r="H35" s="9"/>
      <c r="I35" s="9"/>
      <c r="J35" s="9"/>
      <c r="K35" s="9"/>
      <c r="L35" s="9"/>
    </row>
    <row r="36" spans="1:12" x14ac:dyDescent="0.25">
      <c r="E36" s="9"/>
      <c r="F36" s="9"/>
      <c r="G36" s="9"/>
      <c r="H36" s="9"/>
      <c r="I36" s="9"/>
      <c r="J36" s="9"/>
      <c r="K36" s="9"/>
      <c r="L36" s="9"/>
    </row>
    <row r="37" spans="1:12" x14ac:dyDescent="0.25">
      <c r="E37" s="9"/>
      <c r="F37" s="9"/>
      <c r="G37" s="9"/>
      <c r="H37" s="9"/>
      <c r="I37" s="9"/>
      <c r="J37" s="9"/>
      <c r="K37" s="9"/>
      <c r="L37" s="9"/>
    </row>
    <row r="38" spans="1:12" x14ac:dyDescent="0.25">
      <c r="B38" s="4" t="s">
        <v>8</v>
      </c>
      <c r="E38" s="9"/>
      <c r="F38" s="9"/>
      <c r="G38" s="9"/>
      <c r="H38" s="9"/>
      <c r="I38" s="9"/>
      <c r="J38" s="9"/>
      <c r="K38" s="9"/>
      <c r="L38" s="9"/>
    </row>
    <row r="39" spans="1:12" x14ac:dyDescent="0.25">
      <c r="D39" s="10" t="s">
        <v>7</v>
      </c>
      <c r="E39" s="11">
        <f t="shared" ref="E39:L39" si="3">SUM(E23:E38)</f>
        <v>31.4</v>
      </c>
      <c r="F39" s="11">
        <f>SUM(F23:F38)</f>
        <v>55.3</v>
      </c>
      <c r="G39" s="11">
        <f t="shared" si="3"/>
        <v>0</v>
      </c>
      <c r="H39" s="11">
        <f t="shared" si="3"/>
        <v>0</v>
      </c>
      <c r="I39" s="11">
        <f t="shared" si="3"/>
        <v>28</v>
      </c>
      <c r="J39" s="11">
        <f t="shared" si="3"/>
        <v>0</v>
      </c>
      <c r="K39" s="11">
        <f t="shared" si="3"/>
        <v>0</v>
      </c>
      <c r="L39" s="11">
        <f t="shared" si="3"/>
        <v>0</v>
      </c>
    </row>
    <row r="40" spans="1:12" x14ac:dyDescent="0.25">
      <c r="D40" s="8" t="s">
        <v>9</v>
      </c>
      <c r="E40" s="4">
        <f t="shared" ref="E40:L40" si="4">+E21-E39</f>
        <v>-31.4</v>
      </c>
      <c r="F40" s="4">
        <f t="shared" si="4"/>
        <v>-55.3</v>
      </c>
      <c r="G40" s="4">
        <f t="shared" si="4"/>
        <v>0</v>
      </c>
      <c r="H40" s="4">
        <f t="shared" si="4"/>
        <v>0</v>
      </c>
      <c r="I40" s="4">
        <f t="shared" si="4"/>
        <v>-28</v>
      </c>
      <c r="J40" s="4">
        <f t="shared" si="4"/>
        <v>0</v>
      </c>
      <c r="K40" s="4">
        <f t="shared" si="4"/>
        <v>0</v>
      </c>
      <c r="L40" s="4">
        <f t="shared" si="4"/>
        <v>0</v>
      </c>
    </row>
    <row r="41" spans="1:12" ht="13.8" thickBot="1" x14ac:dyDescent="0.3">
      <c r="D41" s="8" t="s">
        <v>10</v>
      </c>
      <c r="E41" s="12">
        <f t="shared" ref="E41:L41" si="5">+E10+E40</f>
        <v>108.6</v>
      </c>
      <c r="F41" s="12">
        <f t="shared" si="5"/>
        <v>53.3</v>
      </c>
      <c r="G41" s="12">
        <f t="shared" si="5"/>
        <v>53.3</v>
      </c>
      <c r="H41" s="12">
        <f t="shared" si="5"/>
        <v>53.3</v>
      </c>
      <c r="I41" s="12">
        <f t="shared" si="5"/>
        <v>25.299999999999997</v>
      </c>
      <c r="J41" s="12">
        <f t="shared" si="5"/>
        <v>25.299999999999997</v>
      </c>
      <c r="K41" s="12">
        <f t="shared" si="5"/>
        <v>25.299999999999997</v>
      </c>
      <c r="L41" s="12">
        <f t="shared" si="5"/>
        <v>25.299999999999997</v>
      </c>
    </row>
    <row r="42" spans="1:12" ht="13.8" thickTop="1" x14ac:dyDescent="0.25"/>
    <row r="43" spans="1:12" x14ac:dyDescent="0.25">
      <c r="A43" s="29" t="str">
        <f>+Grunddaten!B21</f>
        <v>Bank 2</v>
      </c>
      <c r="B43" s="30"/>
      <c r="C43" s="30"/>
      <c r="D43" s="30"/>
      <c r="E43" s="8" t="s">
        <v>1</v>
      </c>
      <c r="F43" s="15">
        <f>+Grunddaten!D21</f>
        <v>0</v>
      </c>
      <c r="H43" s="7"/>
    </row>
    <row r="44" spans="1:12" x14ac:dyDescent="0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D45" s="8" t="s">
        <v>12</v>
      </c>
      <c r="E45" s="9">
        <v>-205.8</v>
      </c>
      <c r="F45" s="4">
        <f>E75</f>
        <v>-302.5</v>
      </c>
      <c r="G45" s="4">
        <f t="shared" ref="G45:L45" si="6">F75</f>
        <v>-346</v>
      </c>
      <c r="H45" s="4">
        <f t="shared" si="6"/>
        <v>-419.1</v>
      </c>
      <c r="I45" s="4">
        <f t="shared" si="6"/>
        <v>-430.70000000000005</v>
      </c>
      <c r="J45" s="4">
        <f t="shared" si="6"/>
        <v>-431.6</v>
      </c>
      <c r="K45" s="4">
        <f t="shared" si="6"/>
        <v>-431.6</v>
      </c>
      <c r="L45" s="4">
        <f t="shared" si="6"/>
        <v>-431.6</v>
      </c>
    </row>
    <row r="46" spans="1:12" x14ac:dyDescent="0.25">
      <c r="A46" s="25" t="s">
        <v>4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D47" s="4" t="s">
        <v>43</v>
      </c>
      <c r="E47" s="27">
        <v>10</v>
      </c>
      <c r="F47" s="27">
        <v>10</v>
      </c>
      <c r="G47" s="27">
        <v>10</v>
      </c>
      <c r="H47" s="27">
        <v>10</v>
      </c>
      <c r="I47" s="27">
        <v>10</v>
      </c>
      <c r="J47" s="27"/>
      <c r="K47" s="27"/>
      <c r="L47" s="27"/>
    </row>
    <row r="48" spans="1:12" x14ac:dyDescent="0.25">
      <c r="D48" s="4" t="s">
        <v>53</v>
      </c>
      <c r="E48" s="28">
        <v>20.6</v>
      </c>
      <c r="F48" s="28"/>
      <c r="G48" s="28"/>
      <c r="H48" s="28"/>
      <c r="I48" s="9"/>
      <c r="J48" s="28"/>
      <c r="K48" s="28"/>
      <c r="L48" s="9"/>
    </row>
    <row r="49" spans="1:12" x14ac:dyDescent="0.25">
      <c r="D49" s="4" t="s">
        <v>104</v>
      </c>
      <c r="E49" s="27"/>
      <c r="F49" s="27">
        <v>8</v>
      </c>
      <c r="G49" s="27">
        <v>16.7</v>
      </c>
      <c r="H49" s="28"/>
      <c r="I49" s="9"/>
      <c r="J49" s="27"/>
      <c r="K49" s="28"/>
      <c r="L49" s="9"/>
    </row>
    <row r="50" spans="1:12" x14ac:dyDescent="0.25">
      <c r="D50" s="4" t="s">
        <v>132</v>
      </c>
      <c r="E50" s="28"/>
      <c r="F50" s="28"/>
      <c r="G50" s="28"/>
      <c r="H50" s="28"/>
      <c r="I50" s="9"/>
      <c r="J50" s="28"/>
      <c r="K50" s="28"/>
      <c r="L50" s="9"/>
    </row>
    <row r="51" spans="1:12" x14ac:dyDescent="0.25">
      <c r="E51" s="9"/>
      <c r="F51" s="9"/>
      <c r="G51" s="9"/>
      <c r="H51" s="9"/>
      <c r="I51" s="9"/>
      <c r="J51" s="9"/>
      <c r="K51" s="9"/>
      <c r="L51" s="9"/>
    </row>
    <row r="52" spans="1:12" x14ac:dyDescent="0.25">
      <c r="D52" s="4" t="s">
        <v>127</v>
      </c>
      <c r="E52" s="27"/>
      <c r="F52" s="9"/>
      <c r="G52" s="9"/>
      <c r="H52" s="9"/>
      <c r="I52" s="9"/>
      <c r="J52" s="9"/>
      <c r="K52" s="9"/>
      <c r="L52" s="9"/>
    </row>
    <row r="53" spans="1:12" x14ac:dyDescent="0.25">
      <c r="E53" s="9"/>
      <c r="F53" s="9"/>
      <c r="G53" s="9"/>
      <c r="H53" s="9"/>
      <c r="I53" s="9"/>
      <c r="J53" s="9"/>
      <c r="K53" s="9"/>
      <c r="L53" s="9"/>
    </row>
    <row r="54" spans="1:12" x14ac:dyDescent="0.25">
      <c r="E54" s="9"/>
      <c r="F54" s="9"/>
      <c r="G54" s="9"/>
      <c r="H54" s="9"/>
      <c r="I54" s="9"/>
      <c r="J54" s="9"/>
      <c r="K54" s="9"/>
      <c r="L54" s="9"/>
    </row>
    <row r="55" spans="1:12" x14ac:dyDescent="0.25">
      <c r="B55" s="4" t="s">
        <v>8</v>
      </c>
      <c r="E55" s="9"/>
      <c r="F55" s="9"/>
      <c r="G55" s="9"/>
      <c r="H55" s="9"/>
      <c r="I55" s="9"/>
      <c r="J55" s="9"/>
      <c r="K55" s="9"/>
      <c r="L55" s="9"/>
    </row>
    <row r="56" spans="1:12" x14ac:dyDescent="0.25">
      <c r="D56" s="10" t="s">
        <v>5</v>
      </c>
      <c r="E56" s="11">
        <f t="shared" ref="E56:L56" si="7">SUM(E46:E55)</f>
        <v>30.6</v>
      </c>
      <c r="F56" s="11">
        <f t="shared" si="7"/>
        <v>18</v>
      </c>
      <c r="G56" s="11">
        <f t="shared" si="7"/>
        <v>26.7</v>
      </c>
      <c r="H56" s="11">
        <f t="shared" si="7"/>
        <v>10</v>
      </c>
      <c r="I56" s="11">
        <f t="shared" si="7"/>
        <v>10</v>
      </c>
      <c r="J56" s="11">
        <f t="shared" si="7"/>
        <v>0</v>
      </c>
      <c r="K56" s="11">
        <f t="shared" si="7"/>
        <v>0</v>
      </c>
      <c r="L56" s="11">
        <f t="shared" si="7"/>
        <v>0</v>
      </c>
    </row>
    <row r="57" spans="1:12" x14ac:dyDescent="0.25">
      <c r="A57" s="25" t="s">
        <v>6</v>
      </c>
    </row>
    <row r="58" spans="1:12" x14ac:dyDescent="0.25">
      <c r="D58" s="4" t="s">
        <v>83</v>
      </c>
      <c r="E58" s="27">
        <v>11.2</v>
      </c>
      <c r="F58" s="28"/>
      <c r="G58" s="28"/>
      <c r="H58" s="28"/>
      <c r="I58" s="28"/>
      <c r="J58" s="28"/>
      <c r="K58" s="28"/>
      <c r="L58" s="28"/>
    </row>
    <row r="59" spans="1:12" x14ac:dyDescent="0.25">
      <c r="D59" s="4" t="s">
        <v>84</v>
      </c>
      <c r="E59" s="28"/>
      <c r="F59" s="28"/>
      <c r="G59" s="28"/>
      <c r="H59" s="27"/>
      <c r="I59" s="27">
        <v>10.9</v>
      </c>
      <c r="J59" s="28"/>
      <c r="K59" s="27"/>
      <c r="L59" s="27"/>
    </row>
    <row r="60" spans="1:12" x14ac:dyDescent="0.25">
      <c r="D60" s="4" t="s">
        <v>58</v>
      </c>
      <c r="E60" s="27">
        <v>80.7</v>
      </c>
      <c r="F60" s="28"/>
      <c r="G60" s="28"/>
      <c r="H60" s="28"/>
      <c r="I60" s="28"/>
      <c r="J60" s="28"/>
      <c r="K60" s="28"/>
      <c r="L60" s="28"/>
    </row>
    <row r="61" spans="1:12" x14ac:dyDescent="0.25">
      <c r="D61" s="4" t="s">
        <v>46</v>
      </c>
      <c r="E61" s="27">
        <v>25</v>
      </c>
      <c r="F61" s="28"/>
      <c r="G61" s="28"/>
      <c r="H61" s="28"/>
      <c r="I61" s="28"/>
      <c r="J61" s="28"/>
      <c r="K61" s="28"/>
      <c r="L61" s="28"/>
    </row>
    <row r="62" spans="1:12" x14ac:dyDescent="0.25">
      <c r="D62" s="4" t="s">
        <v>50</v>
      </c>
      <c r="E62" s="28"/>
      <c r="F62" s="28"/>
      <c r="G62" s="28"/>
      <c r="H62" s="28"/>
      <c r="I62" s="28"/>
      <c r="J62" s="28"/>
      <c r="K62" s="28"/>
      <c r="L62" s="28"/>
    </row>
    <row r="63" spans="1:12" x14ac:dyDescent="0.25">
      <c r="D63" s="4" t="s">
        <v>87</v>
      </c>
      <c r="E63" s="28"/>
      <c r="F63" s="28"/>
      <c r="G63" s="28"/>
      <c r="H63" s="28"/>
      <c r="I63" s="28"/>
      <c r="J63" s="28"/>
      <c r="K63" s="28"/>
      <c r="L63" s="28"/>
    </row>
    <row r="64" spans="1:12" x14ac:dyDescent="0.25">
      <c r="D64" s="4" t="s">
        <v>99</v>
      </c>
      <c r="E64" s="27">
        <v>10.4</v>
      </c>
      <c r="F64" s="27">
        <f>18.8+11.7</f>
        <v>30.5</v>
      </c>
      <c r="G64" s="28">
        <v>40.5</v>
      </c>
      <c r="H64" s="28">
        <v>21.6</v>
      </c>
      <c r="I64" s="28"/>
      <c r="J64" s="28"/>
      <c r="K64" s="28"/>
      <c r="L64" s="28"/>
    </row>
    <row r="65" spans="1:12" x14ac:dyDescent="0.25">
      <c r="D65" s="4" t="s">
        <v>106</v>
      </c>
      <c r="E65" s="27"/>
      <c r="F65" s="28"/>
      <c r="G65" s="28"/>
      <c r="H65" s="9"/>
      <c r="I65" s="9"/>
      <c r="J65" s="28"/>
      <c r="K65" s="9"/>
      <c r="L65" s="9"/>
    </row>
    <row r="66" spans="1:12" x14ac:dyDescent="0.25">
      <c r="D66" s="4" t="s">
        <v>108</v>
      </c>
      <c r="E66" s="28"/>
      <c r="F66" s="28"/>
      <c r="G66" s="28"/>
      <c r="H66" s="9"/>
      <c r="I66" s="9"/>
      <c r="J66" s="28"/>
      <c r="K66" s="9"/>
      <c r="L66" s="9"/>
    </row>
    <row r="67" spans="1:12" x14ac:dyDescent="0.25">
      <c r="D67" s="4" t="s">
        <v>114</v>
      </c>
      <c r="E67" s="28"/>
      <c r="F67" s="28"/>
      <c r="G67" s="28"/>
      <c r="H67" s="9"/>
      <c r="I67" s="9"/>
      <c r="J67" s="28"/>
      <c r="K67" s="9"/>
      <c r="L67" s="9"/>
    </row>
    <row r="68" spans="1:12" x14ac:dyDescent="0.25">
      <c r="D68" s="4" t="s">
        <v>126</v>
      </c>
      <c r="E68" s="28"/>
      <c r="F68" s="28"/>
      <c r="G68" s="28"/>
      <c r="H68" s="9"/>
      <c r="I68" s="9"/>
      <c r="J68" s="28"/>
      <c r="K68" s="9"/>
      <c r="L68" s="9"/>
    </row>
    <row r="69" spans="1:12" x14ac:dyDescent="0.25">
      <c r="D69" s="4" t="s">
        <v>109</v>
      </c>
      <c r="E69" s="28"/>
      <c r="F69" s="28"/>
      <c r="G69" s="28"/>
      <c r="H69" s="9"/>
      <c r="I69" s="9"/>
      <c r="J69" s="28"/>
      <c r="K69" s="9"/>
      <c r="L69" s="9"/>
    </row>
    <row r="70" spans="1:12" x14ac:dyDescent="0.25">
      <c r="D70" s="4" t="s">
        <v>45</v>
      </c>
      <c r="E70" s="28"/>
      <c r="F70" s="28"/>
      <c r="G70" s="28"/>
      <c r="H70" s="9"/>
      <c r="I70" s="9"/>
      <c r="J70" s="28"/>
      <c r="K70" s="9"/>
      <c r="L70" s="9"/>
    </row>
    <row r="71" spans="1:12" x14ac:dyDescent="0.25">
      <c r="E71" s="28"/>
      <c r="F71" s="28"/>
      <c r="G71" s="28"/>
      <c r="H71" s="9"/>
      <c r="I71" s="9"/>
      <c r="J71" s="28"/>
      <c r="K71" s="9"/>
      <c r="L71" s="9"/>
    </row>
    <row r="72" spans="1:12" x14ac:dyDescent="0.25">
      <c r="B72" s="4" t="s">
        <v>8</v>
      </c>
      <c r="E72" s="28"/>
      <c r="F72" s="28">
        <v>31</v>
      </c>
      <c r="G72" s="28">
        <v>59.3</v>
      </c>
      <c r="H72" s="9"/>
      <c r="I72" s="9"/>
      <c r="J72" s="28"/>
      <c r="K72" s="9"/>
      <c r="L72" s="9"/>
    </row>
    <row r="73" spans="1:12" x14ac:dyDescent="0.25">
      <c r="D73" s="10" t="s">
        <v>7</v>
      </c>
      <c r="E73" s="11">
        <f t="shared" ref="E73:L73" si="8">SUM(E58:E72)</f>
        <v>127.30000000000001</v>
      </c>
      <c r="F73" s="11">
        <f t="shared" si="8"/>
        <v>61.5</v>
      </c>
      <c r="G73" s="11">
        <f t="shared" si="8"/>
        <v>99.8</v>
      </c>
      <c r="H73" s="11">
        <f t="shared" si="8"/>
        <v>21.6</v>
      </c>
      <c r="I73" s="11">
        <f t="shared" si="8"/>
        <v>10.9</v>
      </c>
      <c r="J73" s="11">
        <f t="shared" si="8"/>
        <v>0</v>
      </c>
      <c r="K73" s="11">
        <f t="shared" si="8"/>
        <v>0</v>
      </c>
      <c r="L73" s="11">
        <f t="shared" si="8"/>
        <v>0</v>
      </c>
    </row>
    <row r="74" spans="1:12" x14ac:dyDescent="0.25">
      <c r="D74" s="8" t="s">
        <v>9</v>
      </c>
      <c r="E74" s="4">
        <f t="shared" ref="E74:L74" si="9">+E56-E73</f>
        <v>-96.700000000000017</v>
      </c>
      <c r="F74" s="4">
        <f t="shared" si="9"/>
        <v>-43.5</v>
      </c>
      <c r="G74" s="4">
        <f t="shared" si="9"/>
        <v>-73.099999999999994</v>
      </c>
      <c r="H74" s="4">
        <f t="shared" si="9"/>
        <v>-11.600000000000001</v>
      </c>
      <c r="I74" s="4">
        <f t="shared" si="9"/>
        <v>-0.90000000000000036</v>
      </c>
      <c r="J74" s="4">
        <f t="shared" si="9"/>
        <v>0</v>
      </c>
      <c r="K74" s="4">
        <f t="shared" si="9"/>
        <v>0</v>
      </c>
      <c r="L74" s="4">
        <f t="shared" si="9"/>
        <v>0</v>
      </c>
    </row>
    <row r="75" spans="1:12" ht="13.8" thickBot="1" x14ac:dyDescent="0.3">
      <c r="D75" s="8" t="s">
        <v>10</v>
      </c>
      <c r="E75" s="12">
        <f t="shared" ref="E75:L75" si="10">+E45+E74</f>
        <v>-302.5</v>
      </c>
      <c r="F75" s="12">
        <f t="shared" si="10"/>
        <v>-346</v>
      </c>
      <c r="G75" s="12">
        <f t="shared" si="10"/>
        <v>-419.1</v>
      </c>
      <c r="H75" s="12">
        <f t="shared" si="10"/>
        <v>-430.70000000000005</v>
      </c>
      <c r="I75" s="12">
        <f t="shared" si="10"/>
        <v>-431.6</v>
      </c>
      <c r="J75" s="12">
        <f t="shared" si="10"/>
        <v>-431.6</v>
      </c>
      <c r="K75" s="12">
        <f t="shared" si="10"/>
        <v>-431.6</v>
      </c>
      <c r="L75" s="12">
        <f t="shared" si="10"/>
        <v>-431.6</v>
      </c>
    </row>
    <row r="76" spans="1:12" ht="13.8" thickTop="1" x14ac:dyDescent="0.25"/>
    <row r="77" spans="1:12" x14ac:dyDescent="0.25">
      <c r="A77" s="26" t="str">
        <f>+Grunddaten!B22</f>
        <v>Bank 3</v>
      </c>
      <c r="B77" s="18"/>
      <c r="C77" s="18"/>
      <c r="D77" s="18"/>
      <c r="E77" s="8" t="s">
        <v>1</v>
      </c>
      <c r="F77" s="15">
        <f>+Grunddaten!D22</f>
        <v>0</v>
      </c>
      <c r="G77" s="7"/>
      <c r="H77" s="7"/>
    </row>
    <row r="78" spans="1:12" x14ac:dyDescent="0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D79" s="8" t="s">
        <v>12</v>
      </c>
      <c r="E79" s="9">
        <v>0</v>
      </c>
      <c r="F79" s="4">
        <f>+E109</f>
        <v>0</v>
      </c>
      <c r="G79" s="4">
        <f t="shared" ref="G79:L79" si="11">+F109</f>
        <v>0</v>
      </c>
      <c r="H79" s="4">
        <f t="shared" si="11"/>
        <v>0</v>
      </c>
      <c r="I79" s="4">
        <f t="shared" si="11"/>
        <v>0</v>
      </c>
      <c r="J79" s="4">
        <f t="shared" si="11"/>
        <v>0</v>
      </c>
      <c r="K79" s="4">
        <f t="shared" si="11"/>
        <v>0</v>
      </c>
      <c r="L79" s="4">
        <f t="shared" si="11"/>
        <v>0</v>
      </c>
    </row>
    <row r="80" spans="1:12" x14ac:dyDescent="0.25">
      <c r="A80" s="25" t="s">
        <v>4</v>
      </c>
      <c r="E80" s="9"/>
      <c r="F80" s="9"/>
      <c r="G80" s="9"/>
      <c r="H80" s="9"/>
      <c r="I80" s="9"/>
      <c r="J80" s="9"/>
      <c r="K80" s="9"/>
      <c r="L80" s="9"/>
    </row>
    <row r="81" spans="1:12" x14ac:dyDescent="0.25">
      <c r="E81" s="9"/>
      <c r="F81" s="9"/>
      <c r="G81" s="9"/>
      <c r="H81" s="9"/>
      <c r="I81" s="9"/>
      <c r="J81" s="9"/>
      <c r="K81" s="9"/>
      <c r="L81" s="9"/>
    </row>
    <row r="82" spans="1:12" x14ac:dyDescent="0.25">
      <c r="E82" s="9"/>
      <c r="F82" s="9"/>
      <c r="G82" s="9"/>
      <c r="H82" s="9"/>
      <c r="I82" s="9"/>
      <c r="J82" s="9"/>
      <c r="K82" s="9"/>
      <c r="L82" s="9"/>
    </row>
    <row r="83" spans="1:12" x14ac:dyDescent="0.25">
      <c r="E83" s="9"/>
      <c r="F83" s="9"/>
      <c r="G83" s="9"/>
      <c r="H83" s="9"/>
      <c r="I83" s="9"/>
      <c r="J83" s="9"/>
      <c r="K83" s="9"/>
      <c r="L83" s="9"/>
    </row>
    <row r="84" spans="1:12" x14ac:dyDescent="0.25">
      <c r="E84" s="9"/>
      <c r="F84" s="9"/>
      <c r="G84" s="9"/>
      <c r="H84" s="9"/>
      <c r="I84" s="9"/>
      <c r="J84" s="9"/>
      <c r="K84" s="9"/>
      <c r="L84" s="9"/>
    </row>
    <row r="85" spans="1:12" x14ac:dyDescent="0.25">
      <c r="E85" s="9"/>
      <c r="F85" s="9"/>
      <c r="G85" s="9"/>
      <c r="H85" s="9"/>
      <c r="I85" s="9"/>
      <c r="J85" s="9"/>
      <c r="K85" s="9"/>
      <c r="L85" s="9"/>
    </row>
    <row r="86" spans="1:12" x14ac:dyDescent="0.25">
      <c r="E86" s="9"/>
      <c r="F86" s="9"/>
      <c r="G86" s="9"/>
      <c r="H86" s="9"/>
      <c r="I86" s="9"/>
      <c r="J86" s="9"/>
      <c r="K86" s="9"/>
      <c r="L86" s="9"/>
    </row>
    <row r="87" spans="1:12" x14ac:dyDescent="0.25">
      <c r="E87" s="9"/>
      <c r="F87" s="9"/>
      <c r="G87" s="9"/>
      <c r="H87" s="9"/>
      <c r="I87" s="9"/>
      <c r="J87" s="9"/>
      <c r="K87" s="9"/>
      <c r="L87" s="9"/>
    </row>
    <row r="88" spans="1:12" x14ac:dyDescent="0.25">
      <c r="E88" s="9"/>
      <c r="F88" s="9"/>
      <c r="G88" s="9"/>
      <c r="H88" s="9"/>
      <c r="I88" s="9"/>
      <c r="J88" s="9"/>
      <c r="K88" s="9"/>
      <c r="L88" s="9"/>
    </row>
    <row r="89" spans="1:12" x14ac:dyDescent="0.25">
      <c r="E89" s="9"/>
      <c r="F89" s="9"/>
      <c r="G89" s="9"/>
      <c r="H89" s="9"/>
      <c r="I89" s="9"/>
      <c r="J89" s="9"/>
      <c r="K89" s="9"/>
      <c r="L89" s="9"/>
    </row>
    <row r="90" spans="1:12" x14ac:dyDescent="0.25">
      <c r="B90" s="4" t="s">
        <v>8</v>
      </c>
      <c r="E90" s="9"/>
      <c r="F90" s="9"/>
      <c r="G90" s="9"/>
      <c r="H90" s="9"/>
      <c r="I90" s="9"/>
      <c r="J90" s="9"/>
      <c r="K90" s="9"/>
      <c r="L90" s="9"/>
    </row>
    <row r="91" spans="1:12" x14ac:dyDescent="0.25">
      <c r="D91" s="10" t="s">
        <v>5</v>
      </c>
      <c r="E91" s="11">
        <f t="shared" ref="E91:L91" si="12">SUM(E80:E90)</f>
        <v>0</v>
      </c>
      <c r="F91" s="11">
        <f t="shared" si="12"/>
        <v>0</v>
      </c>
      <c r="G91" s="11">
        <f t="shared" si="12"/>
        <v>0</v>
      </c>
      <c r="H91" s="11">
        <f t="shared" si="12"/>
        <v>0</v>
      </c>
      <c r="I91" s="11">
        <f t="shared" si="12"/>
        <v>0</v>
      </c>
      <c r="J91" s="11">
        <f t="shared" si="12"/>
        <v>0</v>
      </c>
      <c r="K91" s="11">
        <f t="shared" si="12"/>
        <v>0</v>
      </c>
      <c r="L91" s="11">
        <f t="shared" si="12"/>
        <v>0</v>
      </c>
    </row>
    <row r="92" spans="1:12" x14ac:dyDescent="0.25">
      <c r="A92" s="25" t="s">
        <v>6</v>
      </c>
    </row>
    <row r="93" spans="1:12" x14ac:dyDescent="0.25">
      <c r="E93" s="9"/>
      <c r="F93" s="9"/>
      <c r="G93" s="9"/>
      <c r="H93" s="9"/>
      <c r="I93" s="9"/>
      <c r="J93" s="9"/>
      <c r="K93" s="9"/>
      <c r="L93" s="9"/>
    </row>
    <row r="94" spans="1:12" x14ac:dyDescent="0.25">
      <c r="E94" s="9"/>
      <c r="F94" s="9"/>
      <c r="G94" s="9"/>
      <c r="H94" s="9"/>
      <c r="I94" s="9"/>
      <c r="J94" s="9"/>
      <c r="K94" s="9"/>
      <c r="L94" s="9"/>
    </row>
    <row r="95" spans="1:12" x14ac:dyDescent="0.25">
      <c r="E95" s="9"/>
      <c r="F95" s="9"/>
      <c r="G95" s="9"/>
      <c r="H95" s="9"/>
      <c r="I95" s="9"/>
      <c r="J95" s="9"/>
      <c r="K95" s="9"/>
      <c r="L95" s="9"/>
    </row>
    <row r="96" spans="1:12" x14ac:dyDescent="0.25">
      <c r="E96" s="9"/>
      <c r="F96" s="9"/>
      <c r="G96" s="9"/>
      <c r="H96" s="9"/>
      <c r="I96" s="9"/>
      <c r="J96" s="9"/>
      <c r="K96" s="9"/>
      <c r="L96" s="9"/>
    </row>
    <row r="97" spans="1:12" x14ac:dyDescent="0.25">
      <c r="E97" s="9"/>
      <c r="F97" s="9"/>
      <c r="G97" s="9"/>
      <c r="H97" s="9"/>
      <c r="I97" s="9"/>
      <c r="J97" s="9"/>
      <c r="K97" s="9"/>
      <c r="L97" s="9"/>
    </row>
    <row r="98" spans="1:12" x14ac:dyDescent="0.25">
      <c r="E98" s="9"/>
      <c r="F98" s="9"/>
      <c r="G98" s="9"/>
      <c r="H98" s="9"/>
      <c r="I98" s="9"/>
      <c r="J98" s="9"/>
      <c r="K98" s="9"/>
      <c r="L98" s="9"/>
    </row>
    <row r="99" spans="1:12" x14ac:dyDescent="0.25">
      <c r="E99" s="9"/>
      <c r="F99" s="9"/>
      <c r="G99" s="9"/>
      <c r="H99" s="9"/>
      <c r="I99" s="9"/>
      <c r="J99" s="9"/>
      <c r="K99" s="9"/>
      <c r="L99" s="9"/>
    </row>
    <row r="100" spans="1:12" x14ac:dyDescent="0.25"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B106" s="4" t="s">
        <v>8</v>
      </c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D107" s="10" t="s">
        <v>7</v>
      </c>
      <c r="E107" s="11">
        <f>SUM(E93:E106)</f>
        <v>0</v>
      </c>
      <c r="F107" s="11">
        <f t="shared" ref="F107:L107" si="13">SUM(F93:F106)</f>
        <v>0</v>
      </c>
      <c r="G107" s="11">
        <f t="shared" si="13"/>
        <v>0</v>
      </c>
      <c r="H107" s="11">
        <f t="shared" si="13"/>
        <v>0</v>
      </c>
      <c r="I107" s="11">
        <f t="shared" si="13"/>
        <v>0</v>
      </c>
      <c r="J107" s="11">
        <f t="shared" si="13"/>
        <v>0</v>
      </c>
      <c r="K107" s="11">
        <f t="shared" si="13"/>
        <v>0</v>
      </c>
      <c r="L107" s="11">
        <f t="shared" si="13"/>
        <v>0</v>
      </c>
    </row>
    <row r="108" spans="1:12" x14ac:dyDescent="0.25">
      <c r="D108" s="8" t="s">
        <v>9</v>
      </c>
      <c r="E108" s="4">
        <f>+E91-E107</f>
        <v>0</v>
      </c>
      <c r="F108" s="4">
        <f t="shared" ref="F108:L108" si="14">+F91-F107</f>
        <v>0</v>
      </c>
      <c r="G108" s="4">
        <f t="shared" si="14"/>
        <v>0</v>
      </c>
      <c r="H108" s="4">
        <f t="shared" si="14"/>
        <v>0</v>
      </c>
      <c r="I108" s="4">
        <f t="shared" si="14"/>
        <v>0</v>
      </c>
      <c r="J108" s="4">
        <f t="shared" si="14"/>
        <v>0</v>
      </c>
      <c r="K108" s="4">
        <f t="shared" si="14"/>
        <v>0</v>
      </c>
      <c r="L108" s="4">
        <f t="shared" si="14"/>
        <v>0</v>
      </c>
    </row>
    <row r="109" spans="1:12" ht="13.8" thickBot="1" x14ac:dyDescent="0.3">
      <c r="D109" s="8" t="s">
        <v>10</v>
      </c>
      <c r="E109" s="12">
        <f>+E79+E108</f>
        <v>0</v>
      </c>
      <c r="F109" s="12">
        <f t="shared" ref="F109:L109" si="15">+F79+F108</f>
        <v>0</v>
      </c>
      <c r="G109" s="12">
        <f t="shared" si="15"/>
        <v>0</v>
      </c>
      <c r="H109" s="12">
        <f t="shared" si="15"/>
        <v>0</v>
      </c>
      <c r="I109" s="12">
        <f t="shared" si="15"/>
        <v>0</v>
      </c>
      <c r="J109" s="12">
        <f t="shared" si="15"/>
        <v>0</v>
      </c>
      <c r="K109" s="12">
        <f t="shared" si="15"/>
        <v>0</v>
      </c>
      <c r="L109" s="12">
        <f t="shared" si="15"/>
        <v>0</v>
      </c>
    </row>
    <row r="110" spans="1:12" ht="13.8" thickTop="1" x14ac:dyDescent="0.25"/>
    <row r="111" spans="1:12" x14ac:dyDescent="0.25">
      <c r="A111" s="26" t="str">
        <f>+Grunddaten!B23</f>
        <v>Bank 4</v>
      </c>
      <c r="B111" s="18"/>
      <c r="C111" s="18"/>
      <c r="D111" s="18"/>
      <c r="E111" s="8" t="s">
        <v>1</v>
      </c>
      <c r="F111" s="15">
        <f>+Grunddaten!D23</f>
        <v>0</v>
      </c>
      <c r="G111" s="7"/>
      <c r="H111" s="7"/>
    </row>
    <row r="112" spans="1:12" x14ac:dyDescent="0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D113" s="8" t="s">
        <v>12</v>
      </c>
      <c r="E113" s="9">
        <v>0</v>
      </c>
      <c r="F113" s="4">
        <f>+E143</f>
        <v>0</v>
      </c>
      <c r="G113" s="4">
        <f t="shared" ref="G113:L113" si="16">+F143</f>
        <v>0</v>
      </c>
      <c r="H113" s="4">
        <f t="shared" si="16"/>
        <v>0</v>
      </c>
      <c r="I113" s="4">
        <f t="shared" si="16"/>
        <v>0</v>
      </c>
      <c r="J113" s="4">
        <f t="shared" si="16"/>
        <v>0</v>
      </c>
      <c r="K113" s="4">
        <f t="shared" si="16"/>
        <v>0</v>
      </c>
      <c r="L113" s="4">
        <f t="shared" si="16"/>
        <v>0</v>
      </c>
    </row>
    <row r="114" spans="1:12" x14ac:dyDescent="0.25">
      <c r="A114" s="25" t="s">
        <v>4</v>
      </c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25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25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25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25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25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E120" s="9"/>
      <c r="F120" s="9"/>
      <c r="G120" s="9"/>
      <c r="H120" s="9" t="s">
        <v>28</v>
      </c>
      <c r="I120" s="9" t="s">
        <v>28</v>
      </c>
      <c r="J120" s="9" t="s">
        <v>28</v>
      </c>
      <c r="K120" s="9"/>
      <c r="L120" s="9"/>
    </row>
    <row r="121" spans="1:12" x14ac:dyDescent="0.25"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B124" s="4" t="s">
        <v>8</v>
      </c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D125" s="10" t="s">
        <v>5</v>
      </c>
      <c r="E125" s="11">
        <f t="shared" ref="E125:L125" si="17">SUM(E114:E124)</f>
        <v>0</v>
      </c>
      <c r="F125" s="11">
        <f t="shared" si="17"/>
        <v>0</v>
      </c>
      <c r="G125" s="11">
        <f t="shared" si="17"/>
        <v>0</v>
      </c>
      <c r="H125" s="11">
        <f t="shared" si="17"/>
        <v>0</v>
      </c>
      <c r="I125" s="11">
        <f t="shared" si="17"/>
        <v>0</v>
      </c>
      <c r="J125" s="11">
        <f t="shared" si="17"/>
        <v>0</v>
      </c>
      <c r="K125" s="11">
        <f t="shared" si="17"/>
        <v>0</v>
      </c>
      <c r="L125" s="11">
        <f t="shared" si="17"/>
        <v>0</v>
      </c>
    </row>
    <row r="126" spans="1:12" x14ac:dyDescent="0.25">
      <c r="A126" s="25" t="s">
        <v>6</v>
      </c>
    </row>
    <row r="127" spans="1:12" x14ac:dyDescent="0.25">
      <c r="A127" s="25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5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5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5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5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5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B140" s="4" t="s">
        <v>8</v>
      </c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D141" s="10" t="s">
        <v>7</v>
      </c>
      <c r="E141" s="11">
        <f>SUM(E127:E140)</f>
        <v>0</v>
      </c>
      <c r="F141" s="11">
        <f t="shared" ref="F141:L141" si="18">SUM(F127:F140)</f>
        <v>0</v>
      </c>
      <c r="G141" s="11">
        <f t="shared" si="18"/>
        <v>0</v>
      </c>
      <c r="H141" s="11">
        <f t="shared" si="18"/>
        <v>0</v>
      </c>
      <c r="I141" s="11">
        <f t="shared" si="18"/>
        <v>0</v>
      </c>
      <c r="J141" s="11">
        <f t="shared" si="18"/>
        <v>0</v>
      </c>
      <c r="K141" s="11">
        <f t="shared" si="18"/>
        <v>0</v>
      </c>
      <c r="L141" s="11">
        <f t="shared" si="18"/>
        <v>0</v>
      </c>
    </row>
    <row r="142" spans="1:12" x14ac:dyDescent="0.25">
      <c r="D142" s="8" t="s">
        <v>9</v>
      </c>
      <c r="E142" s="4">
        <f>+E125-E141</f>
        <v>0</v>
      </c>
      <c r="F142" s="4">
        <f t="shared" ref="F142:L142" si="19">+F125-F141</f>
        <v>0</v>
      </c>
      <c r="G142" s="4">
        <f t="shared" si="19"/>
        <v>0</v>
      </c>
      <c r="H142" s="4">
        <f t="shared" si="19"/>
        <v>0</v>
      </c>
      <c r="I142" s="4">
        <f t="shared" si="19"/>
        <v>0</v>
      </c>
      <c r="J142" s="4">
        <f t="shared" si="19"/>
        <v>0</v>
      </c>
      <c r="K142" s="4">
        <f t="shared" si="19"/>
        <v>0</v>
      </c>
      <c r="L142" s="4">
        <f t="shared" si="19"/>
        <v>0</v>
      </c>
    </row>
    <row r="143" spans="1:12" ht="13.8" thickBot="1" x14ac:dyDescent="0.3">
      <c r="D143" s="8" t="s">
        <v>10</v>
      </c>
      <c r="E143" s="12">
        <f>+E113+E142</f>
        <v>0</v>
      </c>
      <c r="F143" s="12">
        <f t="shared" ref="F143:L143" si="20">+F113+F142</f>
        <v>0</v>
      </c>
      <c r="G143" s="12">
        <f t="shared" si="20"/>
        <v>0</v>
      </c>
      <c r="H143" s="12">
        <f t="shared" si="20"/>
        <v>0</v>
      </c>
      <c r="I143" s="12">
        <f t="shared" si="20"/>
        <v>0</v>
      </c>
      <c r="J143" s="12">
        <f t="shared" si="20"/>
        <v>0</v>
      </c>
      <c r="K143" s="12">
        <f t="shared" si="20"/>
        <v>0</v>
      </c>
      <c r="L143" s="12">
        <f t="shared" si="20"/>
        <v>0</v>
      </c>
    </row>
    <row r="144" spans="1:12" ht="13.8" thickTop="1" x14ac:dyDescent="0.25">
      <c r="D144" s="8"/>
    </row>
    <row r="145" spans="1:12" x14ac:dyDescent="0.25">
      <c r="A145" s="26" t="str">
        <f>+Grunddaten!B24</f>
        <v>Bank 5</v>
      </c>
      <c r="B145" s="18"/>
      <c r="C145" s="18"/>
      <c r="D145" s="18"/>
      <c r="E145" s="8" t="s">
        <v>1</v>
      </c>
      <c r="F145" s="15">
        <f>+Grunddaten!D24</f>
        <v>0</v>
      </c>
      <c r="G145" s="7"/>
      <c r="H145" s="7"/>
    </row>
    <row r="146" spans="1:12" x14ac:dyDescent="0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D147" s="8" t="s">
        <v>12</v>
      </c>
      <c r="E147" s="9">
        <v>2.1</v>
      </c>
      <c r="F147" s="4">
        <f>+E177</f>
        <v>0</v>
      </c>
      <c r="G147" s="4">
        <f t="shared" ref="G147:L147" si="21">+F177</f>
        <v>0</v>
      </c>
      <c r="H147" s="4">
        <f t="shared" si="21"/>
        <v>0</v>
      </c>
      <c r="I147" s="4">
        <f t="shared" si="21"/>
        <v>0</v>
      </c>
      <c r="J147" s="4">
        <f t="shared" si="21"/>
        <v>0</v>
      </c>
      <c r="K147" s="4">
        <f t="shared" si="21"/>
        <v>0</v>
      </c>
      <c r="L147" s="4">
        <f t="shared" si="21"/>
        <v>0</v>
      </c>
    </row>
    <row r="148" spans="1:12" x14ac:dyDescent="0.25">
      <c r="A148" s="25" t="s">
        <v>4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D149" s="4" t="s">
        <v>105</v>
      </c>
      <c r="E149" s="27"/>
      <c r="F149" s="27">
        <v>44.2</v>
      </c>
      <c r="G149" s="27">
        <v>24.9</v>
      </c>
      <c r="H149" s="27"/>
      <c r="I149" s="27">
        <v>28.6</v>
      </c>
      <c r="J149" s="27"/>
      <c r="K149" s="27"/>
      <c r="L149" s="27"/>
    </row>
    <row r="150" spans="1:12" x14ac:dyDescent="0.25">
      <c r="D150" s="4" t="s">
        <v>98</v>
      </c>
      <c r="E150" s="28"/>
      <c r="F150" s="28"/>
      <c r="G150" s="28"/>
      <c r="H150" s="9"/>
      <c r="I150" s="9"/>
      <c r="J150" s="28"/>
      <c r="K150" s="9"/>
      <c r="L150" s="9"/>
    </row>
    <row r="151" spans="1:12" x14ac:dyDescent="0.25">
      <c r="D151" s="4" t="s">
        <v>43</v>
      </c>
      <c r="E151" s="28"/>
      <c r="F151" s="28"/>
      <c r="G151" s="27">
        <v>5</v>
      </c>
      <c r="H151" s="9"/>
      <c r="I151" s="9"/>
      <c r="J151" s="27"/>
      <c r="K151" s="9"/>
      <c r="L151" s="9"/>
    </row>
    <row r="152" spans="1:12" x14ac:dyDescent="0.25">
      <c r="D152" s="4" t="s">
        <v>100</v>
      </c>
      <c r="E152" s="28"/>
      <c r="F152" s="9"/>
      <c r="G152" s="9"/>
      <c r="H152" s="9"/>
      <c r="I152" s="9"/>
      <c r="J152" s="9"/>
      <c r="K152" s="9"/>
      <c r="L152" s="9"/>
    </row>
    <row r="153" spans="1:12" x14ac:dyDescent="0.25">
      <c r="D153" s="4" t="s">
        <v>115</v>
      </c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B158" s="4" t="s">
        <v>8</v>
      </c>
      <c r="E158" s="9">
        <v>31</v>
      </c>
      <c r="F158" s="9">
        <v>59.3</v>
      </c>
      <c r="G158" s="9"/>
      <c r="H158" s="9"/>
      <c r="I158" s="9"/>
      <c r="J158" s="9"/>
      <c r="K158" s="9"/>
      <c r="L158" s="9"/>
    </row>
    <row r="159" spans="1:12" x14ac:dyDescent="0.25">
      <c r="D159" s="10" t="s">
        <v>5</v>
      </c>
      <c r="E159" s="11">
        <f t="shared" ref="E159:L159" si="22">SUM(E148:E158)</f>
        <v>31</v>
      </c>
      <c r="F159" s="11">
        <f t="shared" si="22"/>
        <v>103.5</v>
      </c>
      <c r="G159" s="11">
        <f t="shared" si="22"/>
        <v>29.9</v>
      </c>
      <c r="H159" s="11">
        <f t="shared" si="22"/>
        <v>0</v>
      </c>
      <c r="I159" s="11">
        <f t="shared" si="22"/>
        <v>28.6</v>
      </c>
      <c r="J159" s="11">
        <f t="shared" si="22"/>
        <v>0</v>
      </c>
      <c r="K159" s="11">
        <f t="shared" si="22"/>
        <v>0</v>
      </c>
      <c r="L159" s="11">
        <f t="shared" si="22"/>
        <v>0</v>
      </c>
    </row>
    <row r="160" spans="1:12" x14ac:dyDescent="0.25">
      <c r="A160" s="25" t="s">
        <v>6</v>
      </c>
    </row>
    <row r="161" spans="2:12" x14ac:dyDescent="0.25">
      <c r="D161" s="4" t="s">
        <v>85</v>
      </c>
      <c r="E161" s="27">
        <v>9.9</v>
      </c>
      <c r="F161" s="9"/>
      <c r="G161" s="9"/>
      <c r="H161" s="9"/>
      <c r="I161" s="9"/>
      <c r="J161" s="9"/>
      <c r="K161" s="9"/>
      <c r="L161" s="9"/>
    </row>
    <row r="162" spans="2:12" x14ac:dyDescent="0.25">
      <c r="D162" s="4" t="s">
        <v>86</v>
      </c>
      <c r="E162" s="28"/>
      <c r="F162" s="9"/>
      <c r="G162" s="9"/>
      <c r="H162" s="9"/>
      <c r="I162" s="9"/>
      <c r="J162" s="9"/>
      <c r="K162" s="9"/>
      <c r="L162" s="9"/>
    </row>
    <row r="163" spans="2:12" x14ac:dyDescent="0.25">
      <c r="D163" s="4" t="s">
        <v>87</v>
      </c>
      <c r="E163" s="28"/>
      <c r="F163" s="9"/>
      <c r="G163" s="9"/>
      <c r="H163" s="9"/>
      <c r="I163" s="9"/>
      <c r="J163" s="9"/>
      <c r="K163" s="9"/>
      <c r="L163" s="9"/>
    </row>
    <row r="164" spans="2:12" x14ac:dyDescent="0.25">
      <c r="D164" s="4" t="s">
        <v>88</v>
      </c>
      <c r="E164" s="28"/>
      <c r="F164" s="9"/>
      <c r="G164" s="9"/>
      <c r="H164" s="9"/>
      <c r="I164" s="9"/>
      <c r="J164" s="9"/>
      <c r="K164" s="9"/>
      <c r="L164" s="9"/>
    </row>
    <row r="165" spans="2:12" x14ac:dyDescent="0.25">
      <c r="D165" s="4" t="s">
        <v>89</v>
      </c>
      <c r="E165" s="28"/>
      <c r="F165" s="27">
        <v>93.7</v>
      </c>
      <c r="G165" s="27">
        <v>6.6</v>
      </c>
      <c r="H165" s="9"/>
      <c r="I165" s="9"/>
      <c r="J165" s="27"/>
      <c r="K165" s="9"/>
      <c r="L165" s="9"/>
    </row>
    <row r="166" spans="2:12" x14ac:dyDescent="0.25">
      <c r="E166" s="27">
        <f>4.6+3.1</f>
        <v>7.6999999999999993</v>
      </c>
      <c r="F166" s="28">
        <v>9.8000000000000007</v>
      </c>
      <c r="G166" s="28"/>
      <c r="H166" s="9"/>
      <c r="I166" s="9"/>
      <c r="J166" s="28"/>
      <c r="K166" s="9"/>
      <c r="L166" s="9"/>
    </row>
    <row r="167" spans="2:12" x14ac:dyDescent="0.25">
      <c r="D167" s="4" t="s">
        <v>71</v>
      </c>
      <c r="E167" s="28">
        <v>15.5</v>
      </c>
      <c r="F167" s="28"/>
      <c r="G167" s="28"/>
      <c r="H167" s="9"/>
      <c r="I167" s="27">
        <v>28.6</v>
      </c>
      <c r="J167" s="28"/>
      <c r="K167" s="9"/>
      <c r="L167" s="27"/>
    </row>
    <row r="168" spans="2:12" x14ac:dyDescent="0.25">
      <c r="D168" s="4" t="s">
        <v>109</v>
      </c>
      <c r="E168" s="28"/>
      <c r="F168" s="28"/>
      <c r="G168" s="28"/>
      <c r="H168" s="9"/>
      <c r="I168" s="9"/>
      <c r="J168" s="28"/>
      <c r="K168" s="9"/>
      <c r="L168" s="9"/>
    </row>
    <row r="169" spans="2:12" x14ac:dyDescent="0.25">
      <c r="D169" s="4" t="s">
        <v>51</v>
      </c>
      <c r="E169" s="28"/>
      <c r="F169" s="28"/>
      <c r="G169" s="28"/>
      <c r="H169" s="9"/>
      <c r="I169" s="9"/>
      <c r="J169" s="28"/>
      <c r="K169" s="9"/>
      <c r="L169" s="9"/>
    </row>
    <row r="170" spans="2:12" x14ac:dyDescent="0.25">
      <c r="D170" s="4" t="s">
        <v>117</v>
      </c>
      <c r="E170" s="28"/>
      <c r="F170" s="28"/>
      <c r="G170" s="28"/>
      <c r="H170" s="27"/>
      <c r="I170" s="27"/>
      <c r="J170" s="28"/>
      <c r="K170" s="27"/>
      <c r="L170" s="27"/>
    </row>
    <row r="171" spans="2:12" x14ac:dyDescent="0.25">
      <c r="E171" s="28"/>
      <c r="F171" s="28"/>
      <c r="G171" s="27">
        <v>23.3</v>
      </c>
      <c r="H171" s="27"/>
      <c r="I171" s="27"/>
      <c r="J171" s="27"/>
      <c r="K171" s="27"/>
      <c r="L171" s="27"/>
    </row>
    <row r="172" spans="2:12" x14ac:dyDescent="0.25">
      <c r="E172" s="28"/>
      <c r="F172" s="9"/>
      <c r="G172" s="9"/>
      <c r="H172" s="9"/>
      <c r="I172" s="9"/>
      <c r="J172" s="9"/>
      <c r="K172" s="9"/>
      <c r="L172" s="9"/>
    </row>
    <row r="173" spans="2:12" x14ac:dyDescent="0.25">
      <c r="E173" s="9"/>
      <c r="F173" s="9"/>
      <c r="G173" s="9"/>
      <c r="H173" s="9"/>
      <c r="I173" s="9"/>
      <c r="J173" s="9"/>
      <c r="K173" s="9"/>
      <c r="L173" s="9"/>
    </row>
    <row r="174" spans="2:12" x14ac:dyDescent="0.25">
      <c r="B174" s="4" t="s">
        <v>8</v>
      </c>
      <c r="E174" s="9"/>
      <c r="F174" s="9"/>
      <c r="G174" s="9"/>
      <c r="H174" s="9"/>
      <c r="I174" s="9"/>
      <c r="J174" s="9"/>
      <c r="K174" s="9"/>
      <c r="L174" s="9"/>
    </row>
    <row r="175" spans="2:12" x14ac:dyDescent="0.25">
      <c r="D175" s="10" t="s">
        <v>7</v>
      </c>
      <c r="E175" s="11">
        <f>SUM(E161:E174)</f>
        <v>33.1</v>
      </c>
      <c r="F175" s="11">
        <f t="shared" ref="F175:L175" si="23">SUM(F161:F174)</f>
        <v>103.5</v>
      </c>
      <c r="G175" s="11">
        <f t="shared" si="23"/>
        <v>29.9</v>
      </c>
      <c r="H175" s="11">
        <f t="shared" si="23"/>
        <v>0</v>
      </c>
      <c r="I175" s="11">
        <f t="shared" si="23"/>
        <v>28.6</v>
      </c>
      <c r="J175" s="11">
        <f t="shared" si="23"/>
        <v>0</v>
      </c>
      <c r="K175" s="11">
        <f t="shared" si="23"/>
        <v>0</v>
      </c>
      <c r="L175" s="11">
        <f t="shared" si="23"/>
        <v>0</v>
      </c>
    </row>
    <row r="176" spans="2:12" x14ac:dyDescent="0.25">
      <c r="D176" s="8" t="s">
        <v>9</v>
      </c>
      <c r="E176" s="4">
        <f t="shared" ref="E176:L176" si="24">+E159-E175</f>
        <v>-2.1000000000000014</v>
      </c>
      <c r="F176" s="4">
        <f t="shared" si="24"/>
        <v>0</v>
      </c>
      <c r="G176" s="4">
        <f t="shared" si="24"/>
        <v>0</v>
      </c>
      <c r="H176" s="4">
        <f t="shared" si="24"/>
        <v>0</v>
      </c>
      <c r="I176" s="4">
        <f t="shared" si="24"/>
        <v>0</v>
      </c>
      <c r="J176" s="4">
        <f t="shared" si="24"/>
        <v>0</v>
      </c>
      <c r="K176" s="4">
        <f t="shared" si="24"/>
        <v>0</v>
      </c>
      <c r="L176" s="4">
        <f t="shared" si="24"/>
        <v>0</v>
      </c>
    </row>
    <row r="177" spans="1:12" x14ac:dyDescent="0.25">
      <c r="D177" s="8" t="s">
        <v>10</v>
      </c>
      <c r="E177" s="4">
        <f>+E147+E176</f>
        <v>0</v>
      </c>
      <c r="F177" s="4">
        <f t="shared" ref="F177:L177" si="25">+F147+F176</f>
        <v>0</v>
      </c>
      <c r="G177" s="4">
        <f t="shared" si="25"/>
        <v>0</v>
      </c>
      <c r="H177" s="4">
        <f t="shared" si="25"/>
        <v>0</v>
      </c>
      <c r="I177" s="4">
        <f t="shared" si="25"/>
        <v>0</v>
      </c>
      <c r="J177" s="4">
        <f t="shared" si="25"/>
        <v>0</v>
      </c>
      <c r="K177" s="4">
        <f t="shared" si="25"/>
        <v>0</v>
      </c>
      <c r="L177" s="4">
        <f t="shared" si="25"/>
        <v>0</v>
      </c>
    </row>
    <row r="179" spans="1:12" x14ac:dyDescent="0.25">
      <c r="A179" s="29" t="str">
        <f>Grunddaten!B25</f>
        <v>Bank 6</v>
      </c>
      <c r="B179" s="30"/>
      <c r="C179" s="30"/>
      <c r="D179" s="30"/>
      <c r="E179" s="8" t="s">
        <v>1</v>
      </c>
      <c r="F179" s="15">
        <f>+Grunddaten!D25</f>
        <v>0</v>
      </c>
      <c r="G179" s="7"/>
      <c r="H179" s="7"/>
    </row>
    <row r="180" spans="1:12" x14ac:dyDescent="0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D181" s="8" t="s">
        <v>12</v>
      </c>
      <c r="E181" s="9"/>
      <c r="F181" s="4">
        <f>+E211</f>
        <v>0</v>
      </c>
      <c r="G181" s="4">
        <f t="shared" ref="G181:L181" si="26">+F211</f>
        <v>0</v>
      </c>
      <c r="H181" s="4">
        <f t="shared" si="26"/>
        <v>0</v>
      </c>
      <c r="I181" s="4">
        <f t="shared" si="26"/>
        <v>0</v>
      </c>
      <c r="J181" s="4">
        <f t="shared" si="26"/>
        <v>0</v>
      </c>
      <c r="K181" s="4">
        <f t="shared" si="26"/>
        <v>0</v>
      </c>
      <c r="L181" s="4">
        <f t="shared" si="26"/>
        <v>0</v>
      </c>
    </row>
    <row r="182" spans="1:12" x14ac:dyDescent="0.25">
      <c r="A182" s="25" t="s">
        <v>4</v>
      </c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25"/>
      <c r="E183" s="9"/>
      <c r="F183" s="9"/>
      <c r="G183" s="9"/>
      <c r="H183" s="9"/>
      <c r="I183" s="9"/>
      <c r="J183" s="9"/>
      <c r="K183" s="9"/>
      <c r="L183" s="9"/>
    </row>
    <row r="184" spans="1:12" x14ac:dyDescent="0.25">
      <c r="A184" s="25"/>
      <c r="E184" s="9"/>
      <c r="F184" s="9"/>
      <c r="G184" s="9"/>
      <c r="H184" s="9"/>
      <c r="I184" s="9"/>
      <c r="J184" s="9"/>
      <c r="K184" s="9"/>
      <c r="L184" s="9"/>
    </row>
    <row r="185" spans="1:12" x14ac:dyDescent="0.25">
      <c r="A185" s="25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25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25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B192" s="4" t="s">
        <v>8</v>
      </c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D193" s="10" t="s">
        <v>5</v>
      </c>
      <c r="E193" s="11">
        <f t="shared" ref="E193:L193" si="27">SUM(E182:E192)</f>
        <v>0</v>
      </c>
      <c r="F193" s="11">
        <f t="shared" si="27"/>
        <v>0</v>
      </c>
      <c r="G193" s="11">
        <f t="shared" si="27"/>
        <v>0</v>
      </c>
      <c r="H193" s="11">
        <f t="shared" si="27"/>
        <v>0</v>
      </c>
      <c r="I193" s="11">
        <f t="shared" si="27"/>
        <v>0</v>
      </c>
      <c r="J193" s="11">
        <f t="shared" si="27"/>
        <v>0</v>
      </c>
      <c r="K193" s="11">
        <f t="shared" si="27"/>
        <v>0</v>
      </c>
      <c r="L193" s="11">
        <f t="shared" si="27"/>
        <v>0</v>
      </c>
    </row>
    <row r="194" spans="1:12" x14ac:dyDescent="0.25">
      <c r="A194" s="25" t="s">
        <v>6</v>
      </c>
    </row>
    <row r="195" spans="1:12" x14ac:dyDescent="0.25"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E198" s="9"/>
      <c r="F198" s="9"/>
      <c r="G198" s="9"/>
      <c r="H198" s="9"/>
      <c r="I198" s="9"/>
      <c r="J198" s="9"/>
      <c r="K198" s="9"/>
      <c r="L198" s="9"/>
    </row>
    <row r="199" spans="1:12" x14ac:dyDescent="0.25"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E200" s="9"/>
      <c r="F200" s="9"/>
      <c r="G200" s="9"/>
      <c r="H200" s="9"/>
      <c r="I200" s="9"/>
      <c r="J200" s="9"/>
      <c r="K200" s="9"/>
      <c r="L200" s="9"/>
    </row>
    <row r="201" spans="1:12" x14ac:dyDescent="0.25">
      <c r="E201" s="9"/>
      <c r="F201" s="9"/>
      <c r="G201" s="9"/>
      <c r="H201" s="9"/>
      <c r="I201" s="9"/>
      <c r="J201" s="9"/>
      <c r="K201" s="9"/>
      <c r="L201" s="9"/>
    </row>
    <row r="202" spans="1:12" x14ac:dyDescent="0.25">
      <c r="E202" s="9"/>
      <c r="F202" s="9"/>
      <c r="G202" s="9"/>
      <c r="H202" s="9"/>
      <c r="I202" s="9"/>
      <c r="J202" s="9"/>
      <c r="K202" s="9"/>
      <c r="L202" s="9"/>
    </row>
    <row r="203" spans="1:12" x14ac:dyDescent="0.25">
      <c r="E203" s="9"/>
      <c r="F203" s="9"/>
      <c r="G203" s="9"/>
      <c r="H203" s="9"/>
      <c r="I203" s="9"/>
      <c r="J203" s="9"/>
      <c r="K203" s="9"/>
      <c r="L203" s="9"/>
    </row>
    <row r="204" spans="1:12" x14ac:dyDescent="0.25">
      <c r="E204" s="9"/>
      <c r="F204" s="9"/>
      <c r="G204" s="9"/>
      <c r="H204" s="9"/>
      <c r="I204" s="9"/>
      <c r="J204" s="9"/>
      <c r="K204" s="9"/>
      <c r="L204" s="9"/>
    </row>
    <row r="205" spans="1:12" x14ac:dyDescent="0.25">
      <c r="E205" s="9"/>
      <c r="F205" s="9"/>
      <c r="G205" s="9"/>
      <c r="H205" s="9"/>
      <c r="I205" s="9"/>
      <c r="J205" s="9"/>
      <c r="K205" s="9"/>
      <c r="L205" s="9"/>
    </row>
    <row r="206" spans="1:12" x14ac:dyDescent="0.25">
      <c r="E206" s="9"/>
      <c r="F206" s="9"/>
      <c r="G206" s="9"/>
      <c r="H206" s="9"/>
      <c r="I206" s="9"/>
      <c r="J206" s="9"/>
      <c r="K206" s="9"/>
      <c r="L206" s="9"/>
    </row>
    <row r="207" spans="1:12" x14ac:dyDescent="0.25">
      <c r="E207" s="9"/>
      <c r="F207" s="9"/>
      <c r="G207" s="9"/>
      <c r="H207" s="9"/>
      <c r="I207" s="9"/>
      <c r="J207" s="9"/>
      <c r="K207" s="9"/>
      <c r="L207" s="9"/>
    </row>
    <row r="208" spans="1:12" x14ac:dyDescent="0.25">
      <c r="B208" s="4" t="s">
        <v>8</v>
      </c>
      <c r="E208" s="9"/>
      <c r="F208" s="9"/>
      <c r="G208" s="9"/>
      <c r="H208" s="9"/>
      <c r="I208" s="9"/>
      <c r="J208" s="9"/>
      <c r="K208" s="9"/>
      <c r="L208" s="9"/>
    </row>
    <row r="209" spans="1:12" x14ac:dyDescent="0.25">
      <c r="D209" s="10" t="s">
        <v>7</v>
      </c>
      <c r="E209" s="11">
        <f t="shared" ref="E209:L209" si="28">SUM(E195:E208)</f>
        <v>0</v>
      </c>
      <c r="F209" s="11">
        <f t="shared" si="28"/>
        <v>0</v>
      </c>
      <c r="G209" s="11">
        <f t="shared" si="28"/>
        <v>0</v>
      </c>
      <c r="H209" s="11">
        <f t="shared" si="28"/>
        <v>0</v>
      </c>
      <c r="I209" s="11">
        <f t="shared" si="28"/>
        <v>0</v>
      </c>
      <c r="J209" s="11">
        <f t="shared" si="28"/>
        <v>0</v>
      </c>
      <c r="K209" s="11">
        <f t="shared" si="28"/>
        <v>0</v>
      </c>
      <c r="L209" s="11">
        <f t="shared" si="28"/>
        <v>0</v>
      </c>
    </row>
    <row r="210" spans="1:12" x14ac:dyDescent="0.25">
      <c r="D210" s="8" t="s">
        <v>9</v>
      </c>
      <c r="E210" s="4">
        <f t="shared" ref="E210:L210" si="29">+E193-E209</f>
        <v>0</v>
      </c>
      <c r="F210" s="4">
        <f t="shared" si="29"/>
        <v>0</v>
      </c>
      <c r="G210" s="4">
        <f t="shared" si="29"/>
        <v>0</v>
      </c>
      <c r="H210" s="4">
        <f t="shared" si="29"/>
        <v>0</v>
      </c>
      <c r="I210" s="4">
        <f t="shared" si="29"/>
        <v>0</v>
      </c>
      <c r="J210" s="4">
        <f t="shared" si="29"/>
        <v>0</v>
      </c>
      <c r="K210" s="4">
        <f t="shared" si="29"/>
        <v>0</v>
      </c>
      <c r="L210" s="4">
        <f t="shared" si="29"/>
        <v>0</v>
      </c>
    </row>
    <row r="211" spans="1:12" ht="13.8" thickBot="1" x14ac:dyDescent="0.3">
      <c r="D211" s="8" t="s">
        <v>10</v>
      </c>
      <c r="E211" s="12">
        <f t="shared" ref="E211:L211" si="30">+E181+E210</f>
        <v>0</v>
      </c>
      <c r="F211" s="12">
        <f t="shared" si="30"/>
        <v>0</v>
      </c>
      <c r="G211" s="12">
        <f t="shared" si="30"/>
        <v>0</v>
      </c>
      <c r="H211" s="12">
        <f t="shared" si="30"/>
        <v>0</v>
      </c>
      <c r="I211" s="12">
        <f t="shared" si="30"/>
        <v>0</v>
      </c>
      <c r="J211" s="12">
        <f t="shared" si="30"/>
        <v>0</v>
      </c>
      <c r="K211" s="12">
        <f t="shared" si="30"/>
        <v>0</v>
      </c>
      <c r="L211" s="12">
        <f t="shared" si="30"/>
        <v>0</v>
      </c>
    </row>
    <row r="212" spans="1:12" ht="13.8" thickTop="1" x14ac:dyDescent="0.25">
      <c r="D212" s="8"/>
    </row>
    <row r="213" spans="1:12" x14ac:dyDescent="0.25">
      <c r="A213" s="29" t="str">
        <f>Grunddaten!B26</f>
        <v>Bank 7</v>
      </c>
      <c r="B213" s="30"/>
      <c r="C213" s="30"/>
      <c r="D213" s="30"/>
      <c r="E213" s="8" t="s">
        <v>1</v>
      </c>
      <c r="F213" s="15">
        <f>+Grunddaten!D26</f>
        <v>0</v>
      </c>
      <c r="G213" s="7"/>
      <c r="H213" s="7"/>
    </row>
    <row r="214" spans="1:12" x14ac:dyDescent="0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D215" s="8" t="s">
        <v>12</v>
      </c>
      <c r="E215" s="9"/>
      <c r="F215" s="4">
        <f>+E245</f>
        <v>0</v>
      </c>
      <c r="G215" s="4">
        <f t="shared" ref="G215:L215" si="31">+F245</f>
        <v>0</v>
      </c>
      <c r="H215" s="4">
        <f t="shared" si="31"/>
        <v>0</v>
      </c>
      <c r="I215" s="4">
        <f t="shared" si="31"/>
        <v>0</v>
      </c>
      <c r="J215" s="4">
        <f t="shared" si="31"/>
        <v>0</v>
      </c>
      <c r="K215" s="4">
        <f t="shared" si="31"/>
        <v>0</v>
      </c>
      <c r="L215" s="4">
        <f t="shared" si="31"/>
        <v>0</v>
      </c>
    </row>
    <row r="216" spans="1:12" x14ac:dyDescent="0.25">
      <c r="A216" s="25" t="s">
        <v>4</v>
      </c>
      <c r="E216" s="9"/>
      <c r="F216" s="9"/>
      <c r="G216" s="9"/>
      <c r="H216" s="9"/>
      <c r="I216" s="9"/>
      <c r="J216" s="9"/>
      <c r="K216" s="9"/>
      <c r="L216" s="9"/>
    </row>
    <row r="217" spans="1:12" x14ac:dyDescent="0.25">
      <c r="A217" s="25"/>
      <c r="E217" s="9"/>
      <c r="F217" s="9"/>
      <c r="G217" s="9"/>
      <c r="H217" s="9"/>
      <c r="I217" s="9"/>
      <c r="J217" s="9"/>
      <c r="K217" s="9"/>
      <c r="L217" s="9"/>
    </row>
    <row r="218" spans="1:12" x14ac:dyDescent="0.25">
      <c r="A218" s="25"/>
      <c r="E218" s="9"/>
      <c r="F218" s="9"/>
      <c r="G218" s="9"/>
      <c r="H218" s="9"/>
      <c r="I218" s="9"/>
      <c r="J218" s="9"/>
      <c r="K218" s="9"/>
      <c r="L218" s="9"/>
    </row>
    <row r="219" spans="1:12" x14ac:dyDescent="0.25">
      <c r="A219" s="25"/>
      <c r="E219" s="9"/>
      <c r="F219" s="9"/>
      <c r="G219" s="9"/>
      <c r="H219" s="9"/>
      <c r="I219" s="9"/>
      <c r="J219" s="9"/>
      <c r="K219" s="9"/>
      <c r="L219" s="9"/>
    </row>
    <row r="220" spans="1:12" x14ac:dyDescent="0.25">
      <c r="A220" s="25"/>
      <c r="E220" s="9"/>
      <c r="F220" s="9"/>
      <c r="G220" s="9"/>
      <c r="H220" s="9"/>
      <c r="I220" s="9"/>
      <c r="J220" s="9"/>
      <c r="K220" s="9"/>
      <c r="L220" s="9"/>
    </row>
    <row r="221" spans="1:12" x14ac:dyDescent="0.25">
      <c r="A221" s="25"/>
      <c r="E221" s="9"/>
      <c r="F221" s="9"/>
      <c r="G221" s="9"/>
      <c r="H221" s="9"/>
      <c r="I221" s="9"/>
      <c r="J221" s="9"/>
      <c r="K221" s="9"/>
      <c r="L221" s="9"/>
    </row>
    <row r="222" spans="1:12" x14ac:dyDescent="0.25">
      <c r="E222" s="9"/>
      <c r="F222" s="9"/>
      <c r="G222" s="9"/>
      <c r="H222" s="9"/>
      <c r="I222" s="9"/>
      <c r="J222" s="9"/>
      <c r="K222" s="9"/>
      <c r="L222" s="9"/>
    </row>
    <row r="223" spans="1:12" x14ac:dyDescent="0.25">
      <c r="E223" s="9"/>
      <c r="F223" s="9"/>
      <c r="G223" s="9"/>
      <c r="H223" s="9"/>
      <c r="I223" s="9"/>
      <c r="J223" s="9"/>
      <c r="K223" s="9"/>
      <c r="L223" s="9"/>
    </row>
    <row r="224" spans="1:12" x14ac:dyDescent="0.25">
      <c r="E224" s="9"/>
      <c r="F224" s="9"/>
      <c r="G224" s="9"/>
      <c r="H224" s="9"/>
      <c r="I224" s="9"/>
      <c r="J224" s="9"/>
      <c r="K224" s="9"/>
      <c r="L224" s="9"/>
    </row>
    <row r="225" spans="1:12" x14ac:dyDescent="0.25">
      <c r="E225" s="9"/>
      <c r="F225" s="9"/>
      <c r="G225" s="9"/>
      <c r="H225" s="9"/>
      <c r="I225" s="9"/>
      <c r="J225" s="9"/>
      <c r="K225" s="9"/>
      <c r="L225" s="9"/>
    </row>
    <row r="226" spans="1:12" x14ac:dyDescent="0.25">
      <c r="B226" s="4" t="s">
        <v>8</v>
      </c>
      <c r="E226" s="9"/>
      <c r="F226" s="9"/>
      <c r="G226" s="9"/>
      <c r="H226" s="9"/>
      <c r="I226" s="9"/>
      <c r="J226" s="9"/>
      <c r="K226" s="9"/>
      <c r="L226" s="9"/>
    </row>
    <row r="227" spans="1:12" x14ac:dyDescent="0.25">
      <c r="D227" s="10" t="s">
        <v>5</v>
      </c>
      <c r="E227" s="11">
        <f t="shared" ref="E227:L227" si="32">SUM(E216:E226)</f>
        <v>0</v>
      </c>
      <c r="F227" s="11">
        <f t="shared" si="32"/>
        <v>0</v>
      </c>
      <c r="G227" s="11">
        <f t="shared" si="32"/>
        <v>0</v>
      </c>
      <c r="H227" s="11">
        <f t="shared" si="32"/>
        <v>0</v>
      </c>
      <c r="I227" s="11">
        <f t="shared" si="32"/>
        <v>0</v>
      </c>
      <c r="J227" s="11">
        <f t="shared" si="32"/>
        <v>0</v>
      </c>
      <c r="K227" s="11">
        <f t="shared" si="32"/>
        <v>0</v>
      </c>
      <c r="L227" s="11">
        <f t="shared" si="32"/>
        <v>0</v>
      </c>
    </row>
    <row r="228" spans="1:12" x14ac:dyDescent="0.25">
      <c r="A228" s="25" t="s">
        <v>6</v>
      </c>
    </row>
    <row r="229" spans="1:12" x14ac:dyDescent="0.25">
      <c r="E229" s="9"/>
      <c r="F229" s="9"/>
      <c r="G229" s="9"/>
      <c r="H229" s="9"/>
      <c r="I229" s="9"/>
      <c r="J229" s="9"/>
      <c r="K229" s="9"/>
      <c r="L229" s="9"/>
    </row>
    <row r="230" spans="1:12" x14ac:dyDescent="0.25">
      <c r="E230" s="9"/>
      <c r="F230" s="9"/>
      <c r="G230" s="9"/>
      <c r="H230" s="9"/>
      <c r="I230" s="9"/>
      <c r="J230" s="9"/>
      <c r="K230" s="9"/>
      <c r="L230" s="9"/>
    </row>
    <row r="231" spans="1:12" x14ac:dyDescent="0.25">
      <c r="E231" s="9"/>
      <c r="F231" s="9"/>
      <c r="G231" s="9"/>
      <c r="H231" s="9"/>
      <c r="I231" s="9"/>
      <c r="J231" s="9"/>
      <c r="K231" s="9"/>
      <c r="L231" s="9"/>
    </row>
    <row r="232" spans="1:12" x14ac:dyDescent="0.25">
      <c r="E232" s="9"/>
      <c r="F232" s="9"/>
      <c r="G232" s="9"/>
      <c r="H232" s="9"/>
      <c r="I232" s="9"/>
      <c r="J232" s="9"/>
      <c r="K232" s="9"/>
      <c r="L232" s="9"/>
    </row>
    <row r="233" spans="1:12" x14ac:dyDescent="0.25"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E234" s="9"/>
      <c r="F234" s="9"/>
      <c r="G234" s="9"/>
      <c r="H234" s="9"/>
      <c r="I234" s="9"/>
      <c r="J234" s="9"/>
      <c r="K234" s="9"/>
      <c r="L234" s="9"/>
    </row>
    <row r="235" spans="1:12" x14ac:dyDescent="0.25">
      <c r="E235" s="9"/>
      <c r="F235" s="9"/>
      <c r="G235" s="9"/>
      <c r="H235" s="9"/>
      <c r="I235" s="9"/>
      <c r="J235" s="9"/>
      <c r="K235" s="9"/>
      <c r="L235" s="9"/>
    </row>
    <row r="236" spans="1:12" x14ac:dyDescent="0.25">
      <c r="E236" s="9"/>
      <c r="F236" s="9"/>
      <c r="G236" s="9"/>
      <c r="H236" s="9"/>
      <c r="I236" s="9"/>
      <c r="J236" s="9"/>
      <c r="K236" s="9"/>
      <c r="L236" s="9"/>
    </row>
    <row r="237" spans="1:12" x14ac:dyDescent="0.25">
      <c r="E237" s="9"/>
      <c r="F237" s="9"/>
      <c r="G237" s="9"/>
      <c r="H237" s="9"/>
      <c r="I237" s="9"/>
      <c r="J237" s="9"/>
      <c r="K237" s="9"/>
      <c r="L237" s="9"/>
    </row>
    <row r="238" spans="1:12" x14ac:dyDescent="0.25">
      <c r="E238" s="9"/>
      <c r="F238" s="9"/>
      <c r="G238" s="9"/>
      <c r="H238" s="9"/>
      <c r="I238" s="9"/>
      <c r="J238" s="9"/>
      <c r="K238" s="9"/>
      <c r="L238" s="9"/>
    </row>
    <row r="239" spans="1:12" x14ac:dyDescent="0.25">
      <c r="E239" s="9"/>
      <c r="F239" s="9"/>
      <c r="G239" s="9"/>
      <c r="H239" s="9"/>
      <c r="I239" s="9"/>
      <c r="J239" s="9"/>
      <c r="K239" s="9"/>
      <c r="L239" s="9"/>
    </row>
    <row r="240" spans="1:12" x14ac:dyDescent="0.25">
      <c r="E240" s="9"/>
      <c r="F240" s="9"/>
      <c r="G240" s="9"/>
      <c r="H240" s="9"/>
      <c r="I240" s="9"/>
      <c r="J240" s="9"/>
      <c r="K240" s="9"/>
      <c r="L240" s="9"/>
    </row>
    <row r="241" spans="1:12" x14ac:dyDescent="0.25">
      <c r="E241" s="9"/>
      <c r="F241" s="9"/>
      <c r="G241" s="9"/>
      <c r="H241" s="9"/>
      <c r="I241" s="9"/>
      <c r="J241" s="9"/>
      <c r="K241" s="9"/>
      <c r="L241" s="9"/>
    </row>
    <row r="242" spans="1:12" x14ac:dyDescent="0.25">
      <c r="B242" s="4" t="s">
        <v>8</v>
      </c>
      <c r="E242" s="9"/>
      <c r="F242" s="9"/>
      <c r="G242" s="9"/>
      <c r="H242" s="9"/>
      <c r="I242" s="9"/>
      <c r="J242" s="9"/>
      <c r="K242" s="9"/>
      <c r="L242" s="9"/>
    </row>
    <row r="243" spans="1:12" x14ac:dyDescent="0.25">
      <c r="D243" s="10" t="s">
        <v>7</v>
      </c>
      <c r="E243" s="11">
        <f t="shared" ref="E243:L243" si="33">SUM(E229:E242)</f>
        <v>0</v>
      </c>
      <c r="F243" s="11">
        <f t="shared" si="33"/>
        <v>0</v>
      </c>
      <c r="G243" s="11">
        <f t="shared" si="33"/>
        <v>0</v>
      </c>
      <c r="H243" s="11">
        <f t="shared" si="33"/>
        <v>0</v>
      </c>
      <c r="I243" s="11">
        <f t="shared" si="33"/>
        <v>0</v>
      </c>
      <c r="J243" s="11">
        <f t="shared" si="33"/>
        <v>0</v>
      </c>
      <c r="K243" s="11">
        <f t="shared" si="33"/>
        <v>0</v>
      </c>
      <c r="L243" s="11">
        <f t="shared" si="33"/>
        <v>0</v>
      </c>
    </row>
    <row r="244" spans="1:12" x14ac:dyDescent="0.25">
      <c r="D244" s="8" t="s">
        <v>9</v>
      </c>
      <c r="E244" s="4">
        <f>+E227-E243</f>
        <v>0</v>
      </c>
      <c r="F244" s="4">
        <f t="shared" ref="F244:L244" si="34">+F227-F243</f>
        <v>0</v>
      </c>
      <c r="G244" s="4">
        <f t="shared" si="34"/>
        <v>0</v>
      </c>
      <c r="H244" s="4">
        <f t="shared" si="34"/>
        <v>0</v>
      </c>
      <c r="I244" s="4">
        <f t="shared" si="34"/>
        <v>0</v>
      </c>
      <c r="J244" s="4">
        <f t="shared" si="34"/>
        <v>0</v>
      </c>
      <c r="K244" s="4">
        <f t="shared" si="34"/>
        <v>0</v>
      </c>
      <c r="L244" s="4">
        <f t="shared" si="34"/>
        <v>0</v>
      </c>
    </row>
    <row r="245" spans="1:12" ht="13.8" thickBot="1" x14ac:dyDescent="0.3">
      <c r="D245" s="8" t="s">
        <v>10</v>
      </c>
      <c r="E245" s="12">
        <f>+E215+E244</f>
        <v>0</v>
      </c>
      <c r="F245" s="12">
        <f t="shared" ref="F245:L245" si="35">+F215+F244</f>
        <v>0</v>
      </c>
      <c r="G245" s="12">
        <f t="shared" si="35"/>
        <v>0</v>
      </c>
      <c r="H245" s="12">
        <f t="shared" si="35"/>
        <v>0</v>
      </c>
      <c r="I245" s="12">
        <f t="shared" si="35"/>
        <v>0</v>
      </c>
      <c r="J245" s="12">
        <f t="shared" si="35"/>
        <v>0</v>
      </c>
      <c r="K245" s="12">
        <f t="shared" si="35"/>
        <v>0</v>
      </c>
      <c r="L245" s="12">
        <f t="shared" si="35"/>
        <v>0</v>
      </c>
    </row>
    <row r="246" spans="1:12" ht="13.8" thickTop="1" x14ac:dyDescent="0.25"/>
    <row r="247" spans="1:12" x14ac:dyDescent="0.25">
      <c r="A247" s="29" t="str">
        <f>Grunddaten!B27</f>
        <v>Bank 8</v>
      </c>
      <c r="B247" s="30"/>
      <c r="C247" s="30"/>
      <c r="D247" s="30"/>
      <c r="E247" s="8" t="s">
        <v>1</v>
      </c>
      <c r="F247" s="15">
        <f>+Grunddaten!D27</f>
        <v>0</v>
      </c>
      <c r="G247" s="7"/>
      <c r="H247" s="7"/>
    </row>
    <row r="248" spans="1:12" x14ac:dyDescent="0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D249" s="8" t="s">
        <v>12</v>
      </c>
      <c r="E249" s="9"/>
      <c r="F249" s="4">
        <f t="shared" ref="F249:L249" si="36">+E279</f>
        <v>0</v>
      </c>
      <c r="G249" s="4">
        <f t="shared" si="36"/>
        <v>0</v>
      </c>
      <c r="H249" s="4">
        <f t="shared" si="36"/>
        <v>0</v>
      </c>
      <c r="I249" s="4">
        <f t="shared" si="36"/>
        <v>0</v>
      </c>
      <c r="J249" s="4">
        <f t="shared" si="36"/>
        <v>0</v>
      </c>
      <c r="K249" s="4">
        <f t="shared" si="36"/>
        <v>0</v>
      </c>
      <c r="L249" s="4">
        <f t="shared" si="36"/>
        <v>0</v>
      </c>
    </row>
    <row r="250" spans="1:12" x14ac:dyDescent="0.25">
      <c r="A250" s="25" t="s">
        <v>4</v>
      </c>
      <c r="E250" s="9"/>
      <c r="F250" s="9"/>
      <c r="G250" s="9"/>
      <c r="H250" s="9"/>
      <c r="I250" s="9"/>
      <c r="J250" s="9"/>
      <c r="K250" s="9"/>
      <c r="L250" s="9"/>
    </row>
    <row r="251" spans="1:12" x14ac:dyDescent="0.25">
      <c r="A251" s="25"/>
      <c r="E251" s="9"/>
      <c r="F251" s="9"/>
      <c r="G251" s="9"/>
      <c r="H251" s="9"/>
      <c r="I251" s="9"/>
      <c r="J251" s="9"/>
      <c r="K251" s="9"/>
      <c r="L251" s="9"/>
    </row>
    <row r="252" spans="1:12" x14ac:dyDescent="0.25">
      <c r="A252" s="25"/>
      <c r="E252" s="9"/>
      <c r="F252" s="9"/>
      <c r="G252" s="9"/>
      <c r="H252" s="9"/>
      <c r="I252" s="9"/>
      <c r="J252" s="9"/>
      <c r="K252" s="9"/>
      <c r="L252" s="9"/>
    </row>
    <row r="253" spans="1:12" x14ac:dyDescent="0.25">
      <c r="A253" s="25"/>
      <c r="E253" s="9"/>
      <c r="F253" s="9"/>
      <c r="G253" s="9"/>
      <c r="H253" s="9"/>
      <c r="I253" s="9"/>
      <c r="J253" s="9"/>
      <c r="K253" s="9"/>
      <c r="L253" s="9"/>
    </row>
    <row r="254" spans="1:12" x14ac:dyDescent="0.25">
      <c r="A254" s="25"/>
      <c r="E254" s="9"/>
      <c r="F254" s="9"/>
      <c r="G254" s="9"/>
      <c r="H254" s="9"/>
      <c r="I254" s="9"/>
      <c r="J254" s="9"/>
      <c r="K254" s="9"/>
      <c r="L254" s="9"/>
    </row>
    <row r="255" spans="1:12" x14ac:dyDescent="0.25">
      <c r="A255" s="25"/>
      <c r="E255" s="9"/>
      <c r="F255" s="9"/>
      <c r="G255" s="9"/>
      <c r="H255" s="9"/>
      <c r="I255" s="9"/>
      <c r="J255" s="9"/>
      <c r="K255" s="9"/>
      <c r="L255" s="9"/>
    </row>
    <row r="256" spans="1:12" x14ac:dyDescent="0.25">
      <c r="E256" s="9"/>
      <c r="F256" s="9"/>
      <c r="G256" s="9"/>
      <c r="H256" s="9"/>
      <c r="I256" s="9"/>
      <c r="J256" s="9"/>
      <c r="K256" s="9"/>
      <c r="L256" s="9"/>
    </row>
    <row r="257" spans="1:12" x14ac:dyDescent="0.25">
      <c r="E257" s="9"/>
      <c r="F257" s="9"/>
      <c r="G257" s="9"/>
      <c r="H257" s="9"/>
      <c r="I257" s="9"/>
      <c r="J257" s="9"/>
      <c r="K257" s="9"/>
      <c r="L257" s="9"/>
    </row>
    <row r="258" spans="1:12" x14ac:dyDescent="0.25">
      <c r="E258" s="9"/>
      <c r="F258" s="9"/>
      <c r="G258" s="9"/>
      <c r="H258" s="9"/>
      <c r="I258" s="9"/>
      <c r="J258" s="9"/>
      <c r="K258" s="9"/>
      <c r="L258" s="9"/>
    </row>
    <row r="259" spans="1:12" x14ac:dyDescent="0.25">
      <c r="E259" s="9"/>
      <c r="F259" s="9"/>
      <c r="G259" s="9"/>
      <c r="H259" s="9"/>
      <c r="I259" s="9"/>
      <c r="J259" s="9"/>
      <c r="K259" s="9"/>
      <c r="L259" s="9"/>
    </row>
    <row r="260" spans="1:12" x14ac:dyDescent="0.25">
      <c r="B260" s="4" t="s">
        <v>8</v>
      </c>
      <c r="E260" s="9"/>
      <c r="F260" s="9"/>
      <c r="G260" s="9"/>
      <c r="H260" s="9"/>
      <c r="I260" s="9"/>
      <c r="J260" s="9"/>
      <c r="K260" s="9"/>
      <c r="L260" s="9"/>
    </row>
    <row r="261" spans="1:12" x14ac:dyDescent="0.25">
      <c r="D261" s="10" t="s">
        <v>5</v>
      </c>
      <c r="E261" s="11">
        <f t="shared" ref="E261:L261" si="37">SUM(E250:E260)</f>
        <v>0</v>
      </c>
      <c r="F261" s="11">
        <f t="shared" si="37"/>
        <v>0</v>
      </c>
      <c r="G261" s="11">
        <f t="shared" si="37"/>
        <v>0</v>
      </c>
      <c r="H261" s="11">
        <f t="shared" si="37"/>
        <v>0</v>
      </c>
      <c r="I261" s="11">
        <f t="shared" si="37"/>
        <v>0</v>
      </c>
      <c r="J261" s="11">
        <f t="shared" si="37"/>
        <v>0</v>
      </c>
      <c r="K261" s="11">
        <f t="shared" si="37"/>
        <v>0</v>
      </c>
      <c r="L261" s="11">
        <f t="shared" si="37"/>
        <v>0</v>
      </c>
    </row>
    <row r="262" spans="1:12" x14ac:dyDescent="0.25">
      <c r="A262" s="25" t="s">
        <v>6</v>
      </c>
    </row>
    <row r="263" spans="1:12" x14ac:dyDescent="0.25">
      <c r="E263" s="9"/>
      <c r="F263" s="9"/>
      <c r="G263" s="9"/>
      <c r="H263" s="9"/>
      <c r="I263" s="9"/>
      <c r="J263" s="9"/>
      <c r="K263" s="9"/>
      <c r="L263" s="9"/>
    </row>
    <row r="264" spans="1:12" x14ac:dyDescent="0.25">
      <c r="E264" s="9"/>
      <c r="F264" s="9"/>
      <c r="G264" s="9"/>
      <c r="H264" s="9"/>
      <c r="I264" s="9"/>
      <c r="J264" s="9"/>
      <c r="K264" s="9"/>
      <c r="L264" s="9"/>
    </row>
    <row r="265" spans="1:12" x14ac:dyDescent="0.25">
      <c r="E265" s="9"/>
      <c r="F265" s="9"/>
      <c r="G265" s="9"/>
      <c r="H265" s="9"/>
      <c r="I265" s="9"/>
      <c r="J265" s="9"/>
      <c r="K265" s="9"/>
      <c r="L265" s="9"/>
    </row>
    <row r="266" spans="1:12" x14ac:dyDescent="0.25"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E268" s="9"/>
      <c r="F268" s="9"/>
      <c r="G268" s="9"/>
      <c r="H268" s="9"/>
      <c r="I268" s="9"/>
      <c r="J268" s="9"/>
      <c r="K268" s="9"/>
      <c r="L268" s="9"/>
    </row>
    <row r="269" spans="1:12" x14ac:dyDescent="0.25">
      <c r="E269" s="9"/>
      <c r="F269" s="9"/>
      <c r="G269" s="9"/>
      <c r="H269" s="9"/>
      <c r="I269" s="9"/>
      <c r="J269" s="9"/>
      <c r="K269" s="9"/>
      <c r="L269" s="9"/>
    </row>
    <row r="270" spans="1:12" x14ac:dyDescent="0.25">
      <c r="E270" s="9"/>
      <c r="F270" s="9"/>
      <c r="G270" s="9"/>
      <c r="H270" s="9"/>
      <c r="I270" s="9"/>
      <c r="J270" s="9"/>
      <c r="K270" s="9"/>
      <c r="L270" s="9"/>
    </row>
    <row r="271" spans="1:12" x14ac:dyDescent="0.25">
      <c r="E271" s="9"/>
      <c r="F271" s="9"/>
      <c r="G271" s="9"/>
      <c r="H271" s="9"/>
      <c r="I271" s="9"/>
      <c r="J271" s="9"/>
      <c r="K271" s="9"/>
      <c r="L271" s="9"/>
    </row>
    <row r="272" spans="1:12" x14ac:dyDescent="0.25">
      <c r="E272" s="9"/>
      <c r="F272" s="9"/>
      <c r="G272" s="9"/>
      <c r="H272" s="9"/>
      <c r="I272" s="9"/>
      <c r="J272" s="9"/>
      <c r="K272" s="9"/>
      <c r="L272" s="9"/>
    </row>
    <row r="273" spans="2:12" x14ac:dyDescent="0.25">
      <c r="E273" s="9"/>
      <c r="F273" s="9"/>
      <c r="G273" s="9"/>
      <c r="H273" s="9"/>
      <c r="I273" s="9"/>
      <c r="J273" s="9"/>
      <c r="K273" s="9"/>
      <c r="L273" s="9"/>
    </row>
    <row r="274" spans="2:12" x14ac:dyDescent="0.25">
      <c r="E274" s="9"/>
      <c r="F274" s="9"/>
      <c r="G274" s="9"/>
      <c r="H274" s="9"/>
      <c r="I274" s="9"/>
      <c r="J274" s="9"/>
      <c r="K274" s="9"/>
      <c r="L274" s="9"/>
    </row>
    <row r="275" spans="2:12" x14ac:dyDescent="0.25">
      <c r="E275" s="9"/>
      <c r="F275" s="9"/>
      <c r="G275" s="9"/>
      <c r="H275" s="9"/>
      <c r="I275" s="9"/>
      <c r="J275" s="9"/>
      <c r="K275" s="9"/>
      <c r="L275" s="9"/>
    </row>
    <row r="276" spans="2:12" x14ac:dyDescent="0.25">
      <c r="B276" s="4" t="s">
        <v>8</v>
      </c>
      <c r="E276" s="9"/>
      <c r="F276" s="9"/>
      <c r="G276" s="9"/>
      <c r="H276" s="9"/>
      <c r="I276" s="9"/>
      <c r="J276" s="9"/>
      <c r="K276" s="9"/>
      <c r="L276" s="9"/>
    </row>
    <row r="277" spans="2:12" x14ac:dyDescent="0.25">
      <c r="D277" s="10" t="s">
        <v>7</v>
      </c>
      <c r="E277" s="11">
        <f t="shared" ref="E277:L277" si="38">SUM(E263:E276)</f>
        <v>0</v>
      </c>
      <c r="F277" s="11">
        <f t="shared" si="38"/>
        <v>0</v>
      </c>
      <c r="G277" s="11">
        <f t="shared" si="38"/>
        <v>0</v>
      </c>
      <c r="H277" s="11">
        <f t="shared" si="38"/>
        <v>0</v>
      </c>
      <c r="I277" s="11">
        <f t="shared" si="38"/>
        <v>0</v>
      </c>
      <c r="J277" s="11">
        <f t="shared" si="38"/>
        <v>0</v>
      </c>
      <c r="K277" s="11">
        <f t="shared" si="38"/>
        <v>0</v>
      </c>
      <c r="L277" s="11">
        <f t="shared" si="38"/>
        <v>0</v>
      </c>
    </row>
    <row r="278" spans="2:12" x14ac:dyDescent="0.25">
      <c r="D278" s="8" t="s">
        <v>9</v>
      </c>
      <c r="E278" s="4">
        <f t="shared" ref="E278:L278" si="39">+E261-E277</f>
        <v>0</v>
      </c>
      <c r="F278" s="4">
        <f t="shared" si="39"/>
        <v>0</v>
      </c>
      <c r="G278" s="4">
        <f t="shared" si="39"/>
        <v>0</v>
      </c>
      <c r="H278" s="4">
        <f t="shared" si="39"/>
        <v>0</v>
      </c>
      <c r="I278" s="4">
        <f t="shared" si="39"/>
        <v>0</v>
      </c>
      <c r="J278" s="4">
        <f t="shared" si="39"/>
        <v>0</v>
      </c>
      <c r="K278" s="4">
        <f t="shared" si="39"/>
        <v>0</v>
      </c>
      <c r="L278" s="4">
        <f t="shared" si="39"/>
        <v>0</v>
      </c>
    </row>
    <row r="279" spans="2:12" ht="13.8" thickBot="1" x14ac:dyDescent="0.3">
      <c r="D279" s="8" t="s">
        <v>10</v>
      </c>
      <c r="E279" s="12">
        <f t="shared" ref="E279:L279" si="40">+E249+E278</f>
        <v>0</v>
      </c>
      <c r="F279" s="12">
        <f t="shared" si="40"/>
        <v>0</v>
      </c>
      <c r="G279" s="12">
        <f t="shared" si="40"/>
        <v>0</v>
      </c>
      <c r="H279" s="12">
        <f t="shared" si="40"/>
        <v>0</v>
      </c>
      <c r="I279" s="12">
        <f t="shared" si="40"/>
        <v>0</v>
      </c>
      <c r="J279" s="12">
        <f t="shared" si="40"/>
        <v>0</v>
      </c>
      <c r="K279" s="12">
        <f t="shared" si="40"/>
        <v>0</v>
      </c>
      <c r="L279" s="12">
        <f t="shared" si="40"/>
        <v>0</v>
      </c>
    </row>
    <row r="280" spans="2:12" ht="13.8" thickTop="1" x14ac:dyDescent="0.25"/>
    <row r="281" spans="2:12" x14ac:dyDescent="0.25">
      <c r="D281" s="13" t="s">
        <v>14</v>
      </c>
      <c r="E281" s="4">
        <f t="shared" ref="E281:L281" si="41">E20-E38+E55-E72+E90-E106+E124-E140+E158-E174+E192-E208+E226-E242+E260-E276</f>
        <v>31</v>
      </c>
      <c r="F281" s="4">
        <f t="shared" si="41"/>
        <v>28.299999999999997</v>
      </c>
      <c r="G281" s="4">
        <f t="shared" si="41"/>
        <v>-59.3</v>
      </c>
      <c r="H281" s="4">
        <f t="shared" si="41"/>
        <v>0</v>
      </c>
      <c r="I281" s="4">
        <f t="shared" si="41"/>
        <v>0</v>
      </c>
      <c r="J281" s="4">
        <f t="shared" si="41"/>
        <v>0</v>
      </c>
      <c r="K281" s="4">
        <f t="shared" si="41"/>
        <v>0</v>
      </c>
      <c r="L281" s="4">
        <f t="shared" si="41"/>
        <v>0</v>
      </c>
    </row>
    <row r="282" spans="2:12" x14ac:dyDescent="0.25">
      <c r="D282" s="14"/>
      <c r="E282" s="5" t="str">
        <f t="shared" ref="E282:L282" si="42">IF(E281=0,"i.O.","Fehler")</f>
        <v>Fehler</v>
      </c>
      <c r="F282" s="5" t="str">
        <f t="shared" si="42"/>
        <v>Fehler</v>
      </c>
      <c r="G282" s="5" t="str">
        <f t="shared" si="42"/>
        <v>Fehler</v>
      </c>
      <c r="H282" s="5" t="str">
        <f t="shared" si="42"/>
        <v>i.O.</v>
      </c>
      <c r="I282" s="5" t="str">
        <f t="shared" si="42"/>
        <v>i.O.</v>
      </c>
      <c r="J282" s="5" t="str">
        <f t="shared" si="42"/>
        <v>i.O.</v>
      </c>
      <c r="K282" s="5" t="str">
        <f t="shared" si="42"/>
        <v>i.O.</v>
      </c>
      <c r="L282" s="5" t="str">
        <f t="shared" si="42"/>
        <v>i.O.</v>
      </c>
    </row>
  </sheetData>
  <mergeCells count="4">
    <mergeCell ref="A43:D43"/>
    <mergeCell ref="A179:D179"/>
    <mergeCell ref="A213:D213"/>
    <mergeCell ref="A247:D247"/>
  </mergeCells>
  <phoneticPr fontId="0" type="noConversion"/>
  <pageMargins left="0.78740157480314965" right="0.78740157480314965" top="0.78740157480314965" bottom="0.78740157480314965" header="0.51181102362204722" footer="0.51181102362204722"/>
  <pageSetup paperSize="9" scale="90" fitToHeight="0" orientation="landscape" r:id="rId1"/>
  <headerFooter alignWithMargins="0">
    <oddFooter>&amp;L&amp;F &amp;A&amp;CSeite &amp;P von &amp;N Seiten&amp;R&amp;D &amp;T</oddFooter>
  </headerFooter>
  <rowBreaks count="2" manualBreakCount="2">
    <brk id="41" min="4" max="11" man="1"/>
    <brk id="75" min="4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34D5-6937-4338-9257-D4684D755C2A}">
  <sheetPr codeName="Tabelle4">
    <pageSetUpPr fitToPage="1"/>
  </sheetPr>
  <dimension ref="A1:L282"/>
  <sheetViews>
    <sheetView zoomScale="80" zoomScaleNormal="80" workbookViewId="0">
      <pane xSplit="4" ySplit="7" topLeftCell="E8" activePane="bottomRight" state="frozen"/>
      <selection activeCell="E5" sqref="E5:AD5"/>
      <selection pane="topRight" activeCell="E5" sqref="E5:AD5"/>
      <selection pane="bottomLeft" activeCell="E5" sqref="E5:AD5"/>
      <selection pane="bottomRight" activeCell="H33" sqref="H33"/>
    </sheetView>
  </sheetViews>
  <sheetFormatPr baseColWidth="10" defaultColWidth="11.44140625" defaultRowHeight="13.2" x14ac:dyDescent="0.25"/>
  <cols>
    <col min="1" max="1" width="2.88671875" style="16" customWidth="1"/>
    <col min="2" max="3" width="2.88671875" style="4" customWidth="1"/>
    <col min="4" max="4" width="20.88671875" style="4" customWidth="1"/>
    <col min="5" max="5" width="11.44140625" style="4"/>
    <col min="6" max="6" width="11.88671875" style="4" customWidth="1"/>
    <col min="7" max="16384" width="11.44140625" style="4"/>
  </cols>
  <sheetData>
    <row r="1" spans="1:12" ht="17.399999999999999" x14ac:dyDescent="0.3">
      <c r="A1" s="20" t="s">
        <v>137</v>
      </c>
      <c r="B1" s="3"/>
      <c r="C1" s="3"/>
      <c r="D1" s="3"/>
      <c r="E1" s="3"/>
      <c r="F1" s="3"/>
      <c r="G1" s="3"/>
      <c r="I1" s="4" t="s">
        <v>29</v>
      </c>
    </row>
    <row r="2" spans="1:12" x14ac:dyDescent="0.25">
      <c r="J2" s="4" t="s">
        <v>30</v>
      </c>
      <c r="K2" s="4" t="s">
        <v>31</v>
      </c>
    </row>
    <row r="3" spans="1:12" ht="15.6" x14ac:dyDescent="0.3">
      <c r="A3" s="21" t="s">
        <v>0</v>
      </c>
    </row>
    <row r="4" spans="1:12" x14ac:dyDescent="0.25">
      <c r="A4" s="22" t="s">
        <v>11</v>
      </c>
    </row>
    <row r="5" spans="1:12" x14ac:dyDescent="0.25">
      <c r="E5" s="5" t="str">
        <f>+Holding!E5</f>
        <v>Montag</v>
      </c>
      <c r="F5" s="5" t="str">
        <f>+Holding!F5</f>
        <v>Dienstag</v>
      </c>
      <c r="G5" s="5" t="str">
        <f>+Holding!G5</f>
        <v>Mittwoch</v>
      </c>
      <c r="H5" s="5" t="str">
        <f>+Holding!H5</f>
        <v>Donnerstag</v>
      </c>
      <c r="I5" s="5" t="str">
        <f>+Holding!I5</f>
        <v>Freitag</v>
      </c>
      <c r="J5" s="5" t="str">
        <f>+Holding!J5</f>
        <v>Samstag</v>
      </c>
      <c r="K5" s="5" t="str">
        <f>+Holding!K5</f>
        <v>Sonntag</v>
      </c>
      <c r="L5" s="5" t="str">
        <f>+Holding!L5</f>
        <v>Montag</v>
      </c>
    </row>
    <row r="6" spans="1:12" s="1" customFormat="1" x14ac:dyDescent="0.25">
      <c r="A6" s="23"/>
      <c r="E6" s="1">
        <v>45870</v>
      </c>
      <c r="F6" s="1">
        <f t="shared" ref="F6:L6" si="0">+E6+1</f>
        <v>45871</v>
      </c>
      <c r="G6" s="1">
        <f t="shared" si="0"/>
        <v>45872</v>
      </c>
      <c r="H6" s="1">
        <f t="shared" si="0"/>
        <v>45873</v>
      </c>
      <c r="I6" s="1">
        <f t="shared" si="0"/>
        <v>45874</v>
      </c>
      <c r="J6" s="1">
        <f t="shared" si="0"/>
        <v>45875</v>
      </c>
      <c r="K6" s="1">
        <f t="shared" si="0"/>
        <v>45876</v>
      </c>
      <c r="L6" s="1">
        <f t="shared" si="0"/>
        <v>45877</v>
      </c>
    </row>
    <row r="7" spans="1:12" s="5" customFormat="1" x14ac:dyDescent="0.25">
      <c r="A7" s="24"/>
      <c r="B7" s="6"/>
      <c r="C7" s="6"/>
      <c r="D7" s="6" t="s">
        <v>2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</row>
    <row r="8" spans="1:12" x14ac:dyDescent="0.25">
      <c r="A8" s="17" t="str">
        <f>+Grunddaten!B32</f>
        <v>Bank 1</v>
      </c>
      <c r="B8" s="18"/>
      <c r="C8" s="18"/>
      <c r="D8" s="18"/>
      <c r="E8" s="8" t="s">
        <v>1</v>
      </c>
      <c r="F8" s="15">
        <f>+Grunddaten!D32</f>
        <v>0</v>
      </c>
      <c r="G8" s="7"/>
    </row>
    <row r="9" spans="1:12" s="5" customFormat="1" x14ac:dyDescent="0.25">
      <c r="A9" s="23"/>
    </row>
    <row r="10" spans="1:12" x14ac:dyDescent="0.25">
      <c r="D10" s="8" t="s">
        <v>12</v>
      </c>
      <c r="E10" s="9">
        <v>72.900000000000006</v>
      </c>
      <c r="F10" s="4">
        <f t="shared" ref="F10:L10" si="1">+E41</f>
        <v>72.900000000000006</v>
      </c>
      <c r="G10" s="4">
        <f t="shared" si="1"/>
        <v>75.900000000000006</v>
      </c>
      <c r="H10" s="4">
        <f t="shared" si="1"/>
        <v>78.900000000000006</v>
      </c>
      <c r="I10" s="4">
        <f t="shared" si="1"/>
        <v>81.900000000000006</v>
      </c>
      <c r="J10" s="4">
        <f t="shared" si="1"/>
        <v>84.9</v>
      </c>
      <c r="K10" s="4">
        <f t="shared" si="1"/>
        <v>84.9</v>
      </c>
      <c r="L10" s="4">
        <f t="shared" si="1"/>
        <v>84.9</v>
      </c>
    </row>
    <row r="11" spans="1:12" x14ac:dyDescent="0.25">
      <c r="A11" s="25" t="s">
        <v>4</v>
      </c>
      <c r="E11" s="9"/>
      <c r="F11" s="9"/>
      <c r="G11" s="9"/>
      <c r="H11" s="9"/>
      <c r="I11" s="9"/>
      <c r="J11" s="9"/>
      <c r="K11" s="9"/>
      <c r="L11" s="9"/>
    </row>
    <row r="12" spans="1:12" x14ac:dyDescent="0.25">
      <c r="B12" s="16" t="s">
        <v>43</v>
      </c>
      <c r="E12" s="9"/>
      <c r="F12" s="9">
        <v>3</v>
      </c>
      <c r="G12" s="9">
        <v>3</v>
      </c>
      <c r="H12" s="9">
        <v>3</v>
      </c>
      <c r="I12" s="9">
        <v>3</v>
      </c>
      <c r="J12" s="9"/>
      <c r="K12" s="9"/>
      <c r="L12" s="9">
        <v>3</v>
      </c>
    </row>
    <row r="13" spans="1:12" x14ac:dyDescent="0.25">
      <c r="B13" s="16" t="s">
        <v>53</v>
      </c>
      <c r="E13" s="9"/>
      <c r="F13" s="9"/>
      <c r="G13" s="9"/>
      <c r="H13" s="9"/>
      <c r="I13" s="9"/>
      <c r="J13" s="9"/>
      <c r="K13" s="9"/>
      <c r="L13" s="9"/>
    </row>
    <row r="14" spans="1:12" x14ac:dyDescent="0.25">
      <c r="E14" s="9"/>
      <c r="F14" s="9"/>
      <c r="G14" s="9"/>
      <c r="H14" s="9"/>
      <c r="I14" s="9"/>
      <c r="J14" s="9"/>
      <c r="K14" s="9"/>
      <c r="L14" s="9"/>
    </row>
    <row r="15" spans="1:12" x14ac:dyDescent="0.25">
      <c r="E15" s="9"/>
      <c r="F15" s="9"/>
      <c r="G15" s="9"/>
      <c r="H15" s="9"/>
      <c r="I15" s="9"/>
      <c r="J15" s="9"/>
      <c r="K15" s="9"/>
      <c r="L15" s="9"/>
    </row>
    <row r="16" spans="1:12" ht="10.5" customHeight="1" x14ac:dyDescent="0.25">
      <c r="E16" s="9"/>
      <c r="F16" s="9"/>
      <c r="G16" s="9"/>
      <c r="H16" s="9"/>
      <c r="I16" s="9"/>
      <c r="J16" s="9"/>
      <c r="K16" s="9"/>
      <c r="L16" s="9"/>
    </row>
    <row r="17" spans="1:12" x14ac:dyDescent="0.25">
      <c r="E17" s="9"/>
      <c r="F17" s="9"/>
      <c r="G17" s="9"/>
      <c r="H17" s="9"/>
      <c r="I17" s="9"/>
      <c r="J17" s="9"/>
      <c r="K17" s="9"/>
      <c r="L17" s="9"/>
    </row>
    <row r="18" spans="1:12" x14ac:dyDescent="0.25">
      <c r="E18" s="9"/>
      <c r="F18" s="9"/>
      <c r="G18" s="9"/>
      <c r="H18" s="9"/>
      <c r="I18" s="9"/>
      <c r="J18" s="9"/>
      <c r="K18" s="9"/>
      <c r="L18" s="9"/>
    </row>
    <row r="19" spans="1:12" x14ac:dyDescent="0.25">
      <c r="E19" s="9"/>
      <c r="F19" s="9"/>
      <c r="G19" s="9"/>
      <c r="H19" s="9"/>
      <c r="I19" s="9"/>
      <c r="J19" s="9"/>
      <c r="K19" s="9"/>
      <c r="L19" s="9"/>
    </row>
    <row r="20" spans="1:12" x14ac:dyDescent="0.25">
      <c r="E20" s="9"/>
      <c r="F20" s="9"/>
      <c r="G20" s="9"/>
      <c r="H20" s="9"/>
      <c r="I20" s="9"/>
      <c r="J20" s="9"/>
      <c r="K20" s="9"/>
      <c r="L20" s="9"/>
    </row>
    <row r="21" spans="1:12" x14ac:dyDescent="0.25">
      <c r="B21" s="4" t="s">
        <v>8</v>
      </c>
      <c r="E21" s="9"/>
      <c r="F21" s="9"/>
      <c r="G21" s="9"/>
      <c r="H21" s="9"/>
      <c r="I21" s="9"/>
      <c r="J21" s="9"/>
      <c r="K21" s="9"/>
      <c r="L21" s="9"/>
    </row>
    <row r="22" spans="1:12" x14ac:dyDescent="0.25">
      <c r="D22" s="10" t="s">
        <v>5</v>
      </c>
      <c r="E22" s="11">
        <f t="shared" ref="E22:L22" si="2">SUM(E11:E21)</f>
        <v>0</v>
      </c>
      <c r="F22" s="11">
        <f t="shared" si="2"/>
        <v>3</v>
      </c>
      <c r="G22" s="11">
        <f t="shared" si="2"/>
        <v>3</v>
      </c>
      <c r="H22" s="11">
        <f t="shared" si="2"/>
        <v>3</v>
      </c>
      <c r="I22" s="11">
        <f t="shared" si="2"/>
        <v>3</v>
      </c>
      <c r="J22" s="11">
        <f t="shared" si="2"/>
        <v>0</v>
      </c>
      <c r="K22" s="11">
        <f t="shared" si="2"/>
        <v>0</v>
      </c>
      <c r="L22" s="11">
        <f t="shared" si="2"/>
        <v>3</v>
      </c>
    </row>
    <row r="23" spans="1:12" x14ac:dyDescent="0.25">
      <c r="A23" s="25" t="s">
        <v>6</v>
      </c>
    </row>
    <row r="24" spans="1:12" x14ac:dyDescent="0.25">
      <c r="B24" s="16" t="s">
        <v>45</v>
      </c>
      <c r="E24" s="9"/>
      <c r="F24" s="9"/>
      <c r="G24" s="9"/>
      <c r="H24" s="9"/>
      <c r="I24" s="9"/>
      <c r="J24" s="9"/>
      <c r="K24" s="9"/>
      <c r="L24" s="9"/>
    </row>
    <row r="25" spans="1:12" x14ac:dyDescent="0.25">
      <c r="B25" s="16" t="s">
        <v>46</v>
      </c>
      <c r="E25" s="9"/>
      <c r="F25" s="9"/>
      <c r="G25" s="9"/>
      <c r="H25" s="9"/>
      <c r="I25" s="9"/>
      <c r="J25" s="9"/>
      <c r="K25" s="9"/>
      <c r="L25" s="9"/>
    </row>
    <row r="26" spans="1:12" x14ac:dyDescent="0.25">
      <c r="B26" s="16" t="s">
        <v>47</v>
      </c>
      <c r="E26" s="9"/>
      <c r="F26" s="9"/>
      <c r="G26" s="9"/>
      <c r="H26" s="9"/>
      <c r="I26" s="9"/>
      <c r="J26" s="9"/>
      <c r="K26" s="9"/>
      <c r="L26" s="9"/>
    </row>
    <row r="27" spans="1:12" x14ac:dyDescent="0.25">
      <c r="B27" s="16" t="s">
        <v>48</v>
      </c>
      <c r="E27" s="9"/>
      <c r="F27" s="9"/>
      <c r="G27" s="9"/>
      <c r="H27" s="9"/>
      <c r="I27" s="9"/>
      <c r="J27" s="9"/>
      <c r="K27" s="9"/>
      <c r="L27" s="9"/>
    </row>
    <row r="28" spans="1:12" x14ac:dyDescent="0.25">
      <c r="B28" s="16" t="s">
        <v>49</v>
      </c>
      <c r="E28" s="9"/>
      <c r="F28" s="9"/>
      <c r="G28" s="9"/>
      <c r="H28" s="9"/>
      <c r="I28" s="9"/>
      <c r="J28" s="9"/>
      <c r="K28" s="9"/>
      <c r="L28" s="9"/>
    </row>
    <row r="29" spans="1:12" x14ac:dyDescent="0.25">
      <c r="B29" s="16" t="s">
        <v>54</v>
      </c>
      <c r="E29" s="9"/>
      <c r="F29" s="9"/>
      <c r="G29" s="9"/>
      <c r="H29" s="9"/>
      <c r="I29" s="9"/>
      <c r="J29" s="9"/>
      <c r="K29" s="9"/>
      <c r="L29" s="9"/>
    </row>
    <row r="30" spans="1:12" x14ac:dyDescent="0.25">
      <c r="B30" s="16" t="s">
        <v>55</v>
      </c>
      <c r="E30" s="9"/>
      <c r="F30" s="9"/>
      <c r="G30" s="9"/>
      <c r="H30" s="9"/>
      <c r="I30" s="9"/>
      <c r="J30" s="9"/>
      <c r="K30" s="9"/>
      <c r="L30" s="9"/>
    </row>
    <row r="31" spans="1:12" x14ac:dyDescent="0.25">
      <c r="B31" s="16" t="s">
        <v>56</v>
      </c>
      <c r="E31" s="9"/>
      <c r="F31" s="9"/>
      <c r="G31" s="9"/>
      <c r="H31" s="9"/>
      <c r="I31" s="9"/>
      <c r="J31" s="9"/>
      <c r="K31" s="9"/>
      <c r="L31" s="9"/>
    </row>
    <row r="32" spans="1:12" x14ac:dyDescent="0.25">
      <c r="B32" s="16" t="s">
        <v>57</v>
      </c>
      <c r="E32" s="9"/>
      <c r="F32" s="9"/>
      <c r="G32" s="9"/>
      <c r="H32" s="9"/>
      <c r="I32" s="9"/>
      <c r="J32" s="9"/>
      <c r="K32" s="9"/>
      <c r="L32" s="9"/>
    </row>
    <row r="33" spans="1:12" x14ac:dyDescent="0.25">
      <c r="B33" s="4" t="s">
        <v>51</v>
      </c>
      <c r="E33" s="9"/>
      <c r="F33" s="9"/>
      <c r="G33" s="9"/>
      <c r="H33" s="9"/>
      <c r="I33" s="9"/>
      <c r="J33" s="9"/>
      <c r="K33" s="9"/>
      <c r="L33" s="9"/>
    </row>
    <row r="34" spans="1:12" ht="7.5" customHeight="1" x14ac:dyDescent="0.25">
      <c r="E34" s="9"/>
      <c r="F34" s="9"/>
      <c r="G34" s="9"/>
      <c r="H34" s="9"/>
      <c r="I34" s="9"/>
      <c r="J34" s="9"/>
      <c r="K34" s="9"/>
      <c r="L34" s="9"/>
    </row>
    <row r="35" spans="1:12" x14ac:dyDescent="0.25">
      <c r="E35" s="9"/>
      <c r="F35" s="9"/>
      <c r="G35" s="9"/>
      <c r="H35" s="9"/>
      <c r="I35" s="9"/>
      <c r="J35" s="9"/>
      <c r="K35" s="9"/>
      <c r="L35" s="9"/>
    </row>
    <row r="36" spans="1:12" x14ac:dyDescent="0.25">
      <c r="E36" s="9"/>
      <c r="F36" s="9"/>
      <c r="G36" s="9"/>
      <c r="H36" s="9"/>
      <c r="I36" s="9"/>
      <c r="J36" s="9"/>
      <c r="K36" s="9"/>
      <c r="L36" s="9"/>
    </row>
    <row r="37" spans="1:12" x14ac:dyDescent="0.25">
      <c r="E37" s="9"/>
      <c r="F37" s="9"/>
      <c r="G37" s="9"/>
      <c r="H37" s="9"/>
      <c r="I37" s="9"/>
      <c r="J37" s="9"/>
      <c r="K37" s="9"/>
      <c r="L37" s="9"/>
    </row>
    <row r="38" spans="1:12" x14ac:dyDescent="0.25">
      <c r="B38" s="4" t="s">
        <v>8</v>
      </c>
      <c r="E38" s="9"/>
      <c r="F38" s="9"/>
      <c r="G38" s="9"/>
      <c r="H38" s="9"/>
      <c r="I38" s="9"/>
      <c r="J38" s="9"/>
      <c r="K38" s="9"/>
      <c r="L38" s="9"/>
    </row>
    <row r="39" spans="1:12" x14ac:dyDescent="0.25">
      <c r="D39" s="10" t="s">
        <v>7</v>
      </c>
      <c r="E39" s="11">
        <f t="shared" ref="E39:L39" si="3">SUM(E24:E38)</f>
        <v>0</v>
      </c>
      <c r="F39" s="11">
        <f t="shared" si="3"/>
        <v>0</v>
      </c>
      <c r="G39" s="11">
        <f t="shared" si="3"/>
        <v>0</v>
      </c>
      <c r="H39" s="11">
        <f t="shared" si="3"/>
        <v>0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1">
        <f t="shared" si="3"/>
        <v>0</v>
      </c>
    </row>
    <row r="40" spans="1:12" x14ac:dyDescent="0.25">
      <c r="D40" s="8" t="s">
        <v>9</v>
      </c>
      <c r="E40" s="4">
        <f t="shared" ref="E40:L40" si="4">+E22-E39</f>
        <v>0</v>
      </c>
      <c r="F40" s="4">
        <f t="shared" si="4"/>
        <v>3</v>
      </c>
      <c r="G40" s="4">
        <f t="shared" si="4"/>
        <v>3</v>
      </c>
      <c r="H40" s="4">
        <f t="shared" si="4"/>
        <v>3</v>
      </c>
      <c r="I40" s="4">
        <f t="shared" si="4"/>
        <v>3</v>
      </c>
      <c r="J40" s="4">
        <f t="shared" si="4"/>
        <v>0</v>
      </c>
      <c r="K40" s="4">
        <f t="shared" si="4"/>
        <v>0</v>
      </c>
      <c r="L40" s="4">
        <f t="shared" si="4"/>
        <v>3</v>
      </c>
    </row>
    <row r="41" spans="1:12" ht="13.8" thickBot="1" x14ac:dyDescent="0.3">
      <c r="D41" s="8" t="s">
        <v>10</v>
      </c>
      <c r="E41" s="12">
        <f t="shared" ref="E41:L41" si="5">+E10+E40</f>
        <v>72.900000000000006</v>
      </c>
      <c r="F41" s="12">
        <f t="shared" si="5"/>
        <v>75.900000000000006</v>
      </c>
      <c r="G41" s="12">
        <f t="shared" si="5"/>
        <v>78.900000000000006</v>
      </c>
      <c r="H41" s="12">
        <f t="shared" si="5"/>
        <v>81.900000000000006</v>
      </c>
      <c r="I41" s="12">
        <f t="shared" si="5"/>
        <v>84.9</v>
      </c>
      <c r="J41" s="12">
        <f t="shared" si="5"/>
        <v>84.9</v>
      </c>
      <c r="K41" s="12">
        <f t="shared" si="5"/>
        <v>84.9</v>
      </c>
      <c r="L41" s="12">
        <f t="shared" si="5"/>
        <v>87.9</v>
      </c>
    </row>
    <row r="42" spans="1:12" ht="13.8" thickTop="1" x14ac:dyDescent="0.25"/>
    <row r="43" spans="1:12" x14ac:dyDescent="0.25">
      <c r="A43" s="29" t="str">
        <f>+Grunddaten!B33</f>
        <v>Bank 2</v>
      </c>
      <c r="B43" s="30"/>
      <c r="C43" s="30"/>
      <c r="D43" s="30"/>
      <c r="E43" s="8" t="s">
        <v>1</v>
      </c>
      <c r="F43" s="15">
        <f>+Grunddaten!D33</f>
        <v>0</v>
      </c>
      <c r="H43" s="7"/>
    </row>
    <row r="44" spans="1:12" x14ac:dyDescent="0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D45" s="8" t="s">
        <v>12</v>
      </c>
      <c r="E45" s="9">
        <v>-104.1</v>
      </c>
      <c r="F45" s="4">
        <f t="shared" ref="F45:L45" si="6">E75</f>
        <v>-183.1</v>
      </c>
      <c r="G45" s="4">
        <f t="shared" si="6"/>
        <v>-193.1</v>
      </c>
      <c r="H45" s="4">
        <f t="shared" si="6"/>
        <v>-198.1</v>
      </c>
      <c r="I45" s="4">
        <f t="shared" si="6"/>
        <v>-192.79999999999998</v>
      </c>
      <c r="J45" s="4">
        <f t="shared" si="6"/>
        <v>-202.79999999999998</v>
      </c>
      <c r="K45" s="4">
        <f t="shared" si="6"/>
        <v>-202.79999999999998</v>
      </c>
      <c r="L45" s="4">
        <f t="shared" si="6"/>
        <v>-202.79999999999998</v>
      </c>
    </row>
    <row r="46" spans="1:12" x14ac:dyDescent="0.25">
      <c r="A46" s="25" t="s">
        <v>4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B47" s="16" t="s">
        <v>43</v>
      </c>
      <c r="E47" s="9"/>
      <c r="F47" s="9">
        <v>20</v>
      </c>
      <c r="G47" s="9">
        <v>15</v>
      </c>
      <c r="H47" s="9">
        <v>20</v>
      </c>
      <c r="I47" s="9">
        <v>20</v>
      </c>
      <c r="J47" s="9"/>
      <c r="K47" s="9"/>
      <c r="L47" s="9">
        <v>20</v>
      </c>
    </row>
    <row r="48" spans="1:12" x14ac:dyDescent="0.25">
      <c r="B48" s="16" t="s">
        <v>53</v>
      </c>
      <c r="E48" s="9">
        <v>9.4</v>
      </c>
      <c r="F48" s="9"/>
      <c r="G48" s="9"/>
      <c r="H48" s="9"/>
      <c r="I48" s="9"/>
      <c r="J48" s="9"/>
      <c r="K48" s="9"/>
      <c r="L48" s="9"/>
    </row>
    <row r="49" spans="1:12" x14ac:dyDescent="0.25">
      <c r="B49" s="16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B50" s="16" t="s">
        <v>58</v>
      </c>
      <c r="E50" s="9"/>
      <c r="F50" s="9"/>
      <c r="G50" s="9"/>
      <c r="H50" s="9"/>
      <c r="I50" s="9"/>
      <c r="J50" s="9"/>
      <c r="K50" s="9"/>
      <c r="L50" s="9"/>
    </row>
    <row r="51" spans="1:12" x14ac:dyDescent="0.25">
      <c r="E51" s="9"/>
      <c r="F51" s="9"/>
      <c r="G51" s="9"/>
      <c r="H51" s="9"/>
      <c r="I51" s="9"/>
      <c r="J51" s="9"/>
      <c r="K51" s="9"/>
      <c r="L51" s="9"/>
    </row>
    <row r="52" spans="1:12" ht="10.5" customHeight="1" x14ac:dyDescent="0.25">
      <c r="E52" s="9"/>
      <c r="F52" s="9"/>
      <c r="G52" s="9"/>
      <c r="H52" s="9"/>
      <c r="I52" s="9"/>
      <c r="J52" s="9"/>
      <c r="K52" s="9"/>
      <c r="L52" s="9"/>
    </row>
    <row r="53" spans="1:12" x14ac:dyDescent="0.25">
      <c r="E53" s="9"/>
      <c r="F53" s="9"/>
      <c r="G53" s="9"/>
      <c r="H53" s="9"/>
      <c r="I53" s="9"/>
      <c r="J53" s="9"/>
      <c r="K53" s="9"/>
      <c r="L53" s="9"/>
    </row>
    <row r="54" spans="1:12" x14ac:dyDescent="0.25">
      <c r="E54" s="9"/>
      <c r="F54" s="9"/>
      <c r="G54" s="9"/>
      <c r="H54" s="9"/>
      <c r="I54" s="9"/>
      <c r="J54" s="9"/>
      <c r="K54" s="9"/>
      <c r="L54" s="9"/>
    </row>
    <row r="55" spans="1:12" x14ac:dyDescent="0.25">
      <c r="B55" s="4" t="s">
        <v>8</v>
      </c>
      <c r="E55" s="9"/>
      <c r="F55" s="9"/>
      <c r="G55" s="9"/>
      <c r="H55" s="9"/>
      <c r="I55" s="9"/>
      <c r="J55" s="9"/>
      <c r="K55" s="9"/>
      <c r="L55" s="9"/>
    </row>
    <row r="56" spans="1:12" x14ac:dyDescent="0.25">
      <c r="D56" s="10" t="s">
        <v>5</v>
      </c>
      <c r="E56" s="11">
        <f t="shared" ref="E56:L56" si="7">SUM(E46:E55)</f>
        <v>9.4</v>
      </c>
      <c r="F56" s="11">
        <f t="shared" si="7"/>
        <v>20</v>
      </c>
      <c r="G56" s="11">
        <f t="shared" si="7"/>
        <v>15</v>
      </c>
      <c r="H56" s="11">
        <f t="shared" si="7"/>
        <v>20</v>
      </c>
      <c r="I56" s="11">
        <f t="shared" si="7"/>
        <v>20</v>
      </c>
      <c r="J56" s="11">
        <f t="shared" si="7"/>
        <v>0</v>
      </c>
      <c r="K56" s="11">
        <f t="shared" si="7"/>
        <v>0</v>
      </c>
      <c r="L56" s="11">
        <f t="shared" si="7"/>
        <v>20</v>
      </c>
    </row>
    <row r="57" spans="1:12" x14ac:dyDescent="0.25">
      <c r="A57" s="25" t="s">
        <v>6</v>
      </c>
    </row>
    <row r="58" spans="1:12" x14ac:dyDescent="0.25">
      <c r="B58" s="16" t="s">
        <v>59</v>
      </c>
      <c r="E58" s="9"/>
      <c r="F58" s="9"/>
      <c r="G58" s="9"/>
      <c r="H58" s="9"/>
      <c r="I58" s="9"/>
      <c r="J58" s="9"/>
      <c r="K58" s="9"/>
      <c r="L58" s="9"/>
    </row>
    <row r="59" spans="1:12" x14ac:dyDescent="0.25">
      <c r="B59" s="16" t="s">
        <v>46</v>
      </c>
      <c r="E59" s="9">
        <v>21.8</v>
      </c>
      <c r="F59" s="9"/>
      <c r="G59" s="9"/>
      <c r="H59" s="9"/>
      <c r="I59" s="9"/>
      <c r="J59" s="9"/>
      <c r="K59" s="9"/>
      <c r="L59" s="9"/>
    </row>
    <row r="60" spans="1:12" x14ac:dyDescent="0.25">
      <c r="B60" s="16" t="s">
        <v>47</v>
      </c>
      <c r="E60" s="9"/>
      <c r="F60" s="9"/>
      <c r="G60" s="9"/>
      <c r="H60" s="9"/>
      <c r="I60" s="9"/>
      <c r="J60" s="9"/>
      <c r="K60" s="9"/>
      <c r="L60" s="9"/>
    </row>
    <row r="61" spans="1:12" x14ac:dyDescent="0.25">
      <c r="B61" s="16" t="s">
        <v>48</v>
      </c>
      <c r="E61" s="9"/>
      <c r="F61" s="9"/>
      <c r="G61" s="9"/>
      <c r="H61" s="9"/>
      <c r="I61" s="9"/>
      <c r="J61" s="9"/>
      <c r="K61" s="9"/>
      <c r="L61" s="9"/>
    </row>
    <row r="62" spans="1:12" x14ac:dyDescent="0.25">
      <c r="B62" s="16" t="s">
        <v>60</v>
      </c>
      <c r="E62" s="9">
        <v>28.7</v>
      </c>
      <c r="F62" s="9"/>
      <c r="G62" s="9">
        <v>20</v>
      </c>
      <c r="H62" s="9"/>
      <c r="I62" s="9">
        <v>10</v>
      </c>
      <c r="J62" s="9"/>
      <c r="K62" s="9"/>
      <c r="L62" s="9"/>
    </row>
    <row r="63" spans="1:12" x14ac:dyDescent="0.25">
      <c r="B63" s="16" t="s">
        <v>61</v>
      </c>
      <c r="E63" s="9">
        <v>5</v>
      </c>
      <c r="F63" s="9"/>
      <c r="G63" s="9"/>
      <c r="H63" s="9">
        <v>8</v>
      </c>
      <c r="I63" s="9">
        <v>20</v>
      </c>
      <c r="J63" s="9"/>
      <c r="K63" s="9"/>
      <c r="L63" s="9"/>
    </row>
    <row r="64" spans="1:12" x14ac:dyDescent="0.25">
      <c r="B64" s="16" t="s">
        <v>62</v>
      </c>
      <c r="E64" s="9"/>
      <c r="F64" s="9"/>
      <c r="G64" s="9"/>
      <c r="H64" s="9"/>
      <c r="I64" s="9"/>
      <c r="J64" s="9"/>
      <c r="K64" s="9"/>
      <c r="L64" s="9"/>
    </row>
    <row r="65" spans="1:12" x14ac:dyDescent="0.25">
      <c r="B65" s="16" t="s">
        <v>58</v>
      </c>
      <c r="E65" s="9">
        <v>12.3</v>
      </c>
      <c r="F65" s="9"/>
      <c r="G65" s="9"/>
      <c r="H65" s="9"/>
      <c r="I65" s="9"/>
      <c r="J65" s="9"/>
      <c r="K65" s="9"/>
      <c r="L65" s="9"/>
    </row>
    <row r="66" spans="1:12" ht="10.5" customHeight="1" x14ac:dyDescent="0.25">
      <c r="B66" s="16" t="s">
        <v>63</v>
      </c>
      <c r="E66" s="9"/>
      <c r="F66" s="9"/>
      <c r="G66" s="9"/>
      <c r="H66" s="9"/>
      <c r="I66" s="9"/>
      <c r="J66" s="9"/>
      <c r="K66" s="9"/>
      <c r="L66" s="9"/>
    </row>
    <row r="67" spans="1:12" x14ac:dyDescent="0.25">
      <c r="B67" s="16" t="s">
        <v>134</v>
      </c>
      <c r="E67" s="9"/>
      <c r="F67" s="9"/>
      <c r="G67" s="9"/>
      <c r="H67" s="9">
        <v>6.7</v>
      </c>
      <c r="I67" s="9"/>
      <c r="J67" s="9"/>
      <c r="K67" s="9"/>
      <c r="L67" s="9"/>
    </row>
    <row r="68" spans="1:12" x14ac:dyDescent="0.25">
      <c r="B68" s="16" t="s">
        <v>64</v>
      </c>
      <c r="E68" s="9"/>
      <c r="F68" s="9"/>
      <c r="G68" s="9"/>
      <c r="H68" s="9"/>
      <c r="I68" s="9"/>
      <c r="J68" s="9"/>
      <c r="K68" s="9"/>
      <c r="L68" s="9"/>
    </row>
    <row r="69" spans="1:12" ht="10.5" customHeight="1" x14ac:dyDescent="0.25">
      <c r="B69" s="16"/>
      <c r="C69" s="16"/>
      <c r="D69" s="16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B70" s="4" t="s">
        <v>94</v>
      </c>
      <c r="C70" s="4" t="s">
        <v>124</v>
      </c>
      <c r="E70" s="9"/>
      <c r="F70" s="9">
        <v>30</v>
      </c>
      <c r="G70" s="9"/>
      <c r="H70" s="9"/>
      <c r="I70" s="9"/>
      <c r="J70" s="9"/>
      <c r="K70" s="9"/>
      <c r="L70" s="9">
        <v>15</v>
      </c>
    </row>
    <row r="71" spans="1:12" ht="10.5" customHeight="1" x14ac:dyDescent="0.25">
      <c r="E71" s="9"/>
      <c r="F71" s="9"/>
      <c r="G71" s="9"/>
      <c r="H71" s="9"/>
      <c r="I71" s="9"/>
      <c r="J71" s="9"/>
      <c r="K71" s="9"/>
      <c r="L71" s="9"/>
    </row>
    <row r="72" spans="1:12" x14ac:dyDescent="0.25">
      <c r="B72" s="4" t="s">
        <v>130</v>
      </c>
      <c r="E72" s="9">
        <v>20.6</v>
      </c>
      <c r="F72" s="9"/>
      <c r="G72" s="9"/>
      <c r="H72" s="9"/>
      <c r="I72" s="9"/>
      <c r="J72" s="9"/>
      <c r="K72" s="9"/>
      <c r="L72" s="9"/>
    </row>
    <row r="73" spans="1:12" x14ac:dyDescent="0.25">
      <c r="D73" s="10" t="s">
        <v>7</v>
      </c>
      <c r="E73" s="11">
        <f t="shared" ref="E73:L73" si="8">SUM(E58:E72)</f>
        <v>88.4</v>
      </c>
      <c r="F73" s="11">
        <f t="shared" si="8"/>
        <v>30</v>
      </c>
      <c r="G73" s="11">
        <f t="shared" si="8"/>
        <v>20</v>
      </c>
      <c r="H73" s="11">
        <f t="shared" si="8"/>
        <v>14.7</v>
      </c>
      <c r="I73" s="11">
        <f t="shared" si="8"/>
        <v>30</v>
      </c>
      <c r="J73" s="11">
        <f t="shared" si="8"/>
        <v>0</v>
      </c>
      <c r="K73" s="11">
        <f t="shared" si="8"/>
        <v>0</v>
      </c>
      <c r="L73" s="11">
        <f t="shared" si="8"/>
        <v>15</v>
      </c>
    </row>
    <row r="74" spans="1:12" x14ac:dyDescent="0.25">
      <c r="D74" s="8" t="s">
        <v>9</v>
      </c>
      <c r="E74" s="4">
        <f t="shared" ref="E74:L74" si="9">+E56-E73</f>
        <v>-79</v>
      </c>
      <c r="F74" s="4">
        <f t="shared" si="9"/>
        <v>-10</v>
      </c>
      <c r="G74" s="4">
        <f t="shared" si="9"/>
        <v>-5</v>
      </c>
      <c r="H74" s="4">
        <f t="shared" si="9"/>
        <v>5.3000000000000007</v>
      </c>
      <c r="I74" s="4">
        <f t="shared" si="9"/>
        <v>-10</v>
      </c>
      <c r="J74" s="4">
        <f t="shared" si="9"/>
        <v>0</v>
      </c>
      <c r="K74" s="4">
        <f t="shared" si="9"/>
        <v>0</v>
      </c>
      <c r="L74" s="4">
        <f t="shared" si="9"/>
        <v>5</v>
      </c>
    </row>
    <row r="75" spans="1:12" ht="13.8" thickBot="1" x14ac:dyDescent="0.3">
      <c r="D75" s="8" t="s">
        <v>10</v>
      </c>
      <c r="E75" s="12">
        <f t="shared" ref="E75:L75" si="10">+E45+E74</f>
        <v>-183.1</v>
      </c>
      <c r="F75" s="12">
        <f t="shared" si="10"/>
        <v>-193.1</v>
      </c>
      <c r="G75" s="12">
        <f t="shared" si="10"/>
        <v>-198.1</v>
      </c>
      <c r="H75" s="12">
        <f t="shared" si="10"/>
        <v>-192.79999999999998</v>
      </c>
      <c r="I75" s="12">
        <f t="shared" si="10"/>
        <v>-202.79999999999998</v>
      </c>
      <c r="J75" s="12">
        <f t="shared" si="10"/>
        <v>-202.79999999999998</v>
      </c>
      <c r="K75" s="12">
        <f t="shared" si="10"/>
        <v>-202.79999999999998</v>
      </c>
      <c r="L75" s="12">
        <f t="shared" si="10"/>
        <v>-197.79999999999998</v>
      </c>
    </row>
    <row r="76" spans="1:12" ht="13.8" thickTop="1" x14ac:dyDescent="0.25"/>
    <row r="77" spans="1:12" x14ac:dyDescent="0.25">
      <c r="A77" s="26" t="str">
        <f>+Grunddaten!B34</f>
        <v>Bank 3</v>
      </c>
      <c r="B77" s="18"/>
      <c r="C77" s="18"/>
      <c r="D77" s="18"/>
      <c r="E77" s="8" t="s">
        <v>1</v>
      </c>
      <c r="F77" s="15"/>
      <c r="G77" s="7"/>
      <c r="H77" s="7"/>
    </row>
    <row r="78" spans="1:12" x14ac:dyDescent="0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D79" s="8" t="s">
        <v>12</v>
      </c>
      <c r="E79" s="9">
        <v>0</v>
      </c>
      <c r="F79" s="4">
        <f t="shared" ref="F79:L79" si="11">+E109</f>
        <v>0</v>
      </c>
      <c r="G79" s="4">
        <f t="shared" si="11"/>
        <v>0</v>
      </c>
      <c r="H79" s="4">
        <f t="shared" si="11"/>
        <v>0</v>
      </c>
      <c r="I79" s="4">
        <f t="shared" si="11"/>
        <v>0</v>
      </c>
      <c r="J79" s="4">
        <f t="shared" si="11"/>
        <v>0</v>
      </c>
      <c r="K79" s="4">
        <f t="shared" si="11"/>
        <v>0</v>
      </c>
      <c r="L79" s="4">
        <f t="shared" si="11"/>
        <v>0</v>
      </c>
    </row>
    <row r="80" spans="1:12" x14ac:dyDescent="0.25">
      <c r="A80" s="25" t="s">
        <v>4</v>
      </c>
      <c r="E80" s="9"/>
      <c r="F80" s="9"/>
      <c r="G80" s="9"/>
      <c r="H80" s="9"/>
      <c r="I80" s="9"/>
      <c r="J80" s="9"/>
      <c r="K80" s="9"/>
      <c r="L80" s="9"/>
    </row>
    <row r="81" spans="1:12" x14ac:dyDescent="0.25">
      <c r="E81" s="9"/>
      <c r="F81" s="9"/>
      <c r="G81" s="9"/>
      <c r="H81" s="9"/>
      <c r="I81" s="9"/>
      <c r="J81" s="9"/>
      <c r="K81" s="9"/>
      <c r="L81" s="9"/>
    </row>
    <row r="82" spans="1:12" x14ac:dyDescent="0.25">
      <c r="E82" s="9"/>
      <c r="F82" s="9"/>
      <c r="G82" s="9"/>
      <c r="H82" s="9"/>
      <c r="I82" s="9"/>
      <c r="J82" s="9"/>
      <c r="K82" s="9"/>
      <c r="L82" s="9"/>
    </row>
    <row r="83" spans="1:12" x14ac:dyDescent="0.25">
      <c r="E83" s="9"/>
      <c r="F83" s="9"/>
      <c r="G83" s="9"/>
      <c r="H83" s="9"/>
      <c r="I83" s="9"/>
      <c r="J83" s="9"/>
      <c r="K83" s="9"/>
      <c r="L83" s="9"/>
    </row>
    <row r="84" spans="1:12" x14ac:dyDescent="0.25">
      <c r="E84" s="9"/>
      <c r="F84" s="9"/>
      <c r="G84" s="9"/>
      <c r="H84" s="9"/>
      <c r="I84" s="9"/>
      <c r="J84" s="9"/>
      <c r="K84" s="9"/>
      <c r="L84" s="9"/>
    </row>
    <row r="85" spans="1:12" x14ac:dyDescent="0.25">
      <c r="E85" s="9"/>
      <c r="F85" s="9"/>
      <c r="G85" s="9"/>
      <c r="H85" s="9"/>
      <c r="I85" s="9"/>
      <c r="J85" s="9"/>
      <c r="K85" s="9"/>
      <c r="L85" s="9"/>
    </row>
    <row r="86" spans="1:12" x14ac:dyDescent="0.25">
      <c r="E86" s="9"/>
      <c r="F86" s="9"/>
      <c r="G86" s="9"/>
      <c r="H86" s="9"/>
      <c r="I86" s="9"/>
      <c r="J86" s="9"/>
      <c r="K86" s="9"/>
      <c r="L86" s="9"/>
    </row>
    <row r="87" spans="1:12" x14ac:dyDescent="0.25">
      <c r="E87" s="9"/>
      <c r="F87" s="9"/>
      <c r="G87" s="9"/>
      <c r="H87" s="9"/>
      <c r="I87" s="9"/>
      <c r="J87" s="9"/>
      <c r="K87" s="9"/>
      <c r="L87" s="9"/>
    </row>
    <row r="88" spans="1:12" x14ac:dyDescent="0.25">
      <c r="E88" s="9"/>
      <c r="F88" s="9"/>
      <c r="G88" s="9"/>
      <c r="H88" s="9"/>
      <c r="I88" s="9"/>
      <c r="J88" s="9"/>
      <c r="K88" s="9"/>
      <c r="L88" s="9"/>
    </row>
    <row r="89" spans="1:12" x14ac:dyDescent="0.25">
      <c r="E89" s="9"/>
      <c r="F89" s="9"/>
      <c r="G89" s="9"/>
      <c r="H89" s="9"/>
      <c r="I89" s="9"/>
      <c r="J89" s="9"/>
      <c r="K89" s="9"/>
      <c r="L89" s="9"/>
    </row>
    <row r="90" spans="1:12" x14ac:dyDescent="0.25">
      <c r="B90" s="4" t="s">
        <v>8</v>
      </c>
      <c r="E90" s="9"/>
      <c r="F90" s="9"/>
      <c r="G90" s="9"/>
      <c r="H90" s="9"/>
      <c r="I90" s="9"/>
      <c r="J90" s="9"/>
      <c r="K90" s="9"/>
      <c r="L90" s="9"/>
    </row>
    <row r="91" spans="1:12" x14ac:dyDescent="0.25">
      <c r="D91" s="10" t="s">
        <v>5</v>
      </c>
      <c r="E91" s="11">
        <f t="shared" ref="E91:L91" si="12">SUM(E80:E90)</f>
        <v>0</v>
      </c>
      <c r="F91" s="11">
        <f t="shared" si="12"/>
        <v>0</v>
      </c>
      <c r="G91" s="11">
        <f t="shared" si="12"/>
        <v>0</v>
      </c>
      <c r="H91" s="11">
        <f t="shared" si="12"/>
        <v>0</v>
      </c>
      <c r="I91" s="11">
        <f t="shared" si="12"/>
        <v>0</v>
      </c>
      <c r="J91" s="11">
        <f t="shared" si="12"/>
        <v>0</v>
      </c>
      <c r="K91" s="11">
        <f t="shared" si="12"/>
        <v>0</v>
      </c>
      <c r="L91" s="11">
        <f t="shared" si="12"/>
        <v>0</v>
      </c>
    </row>
    <row r="92" spans="1:12" x14ac:dyDescent="0.25">
      <c r="A92" s="25" t="s">
        <v>6</v>
      </c>
    </row>
    <row r="93" spans="1:12" x14ac:dyDescent="0.25">
      <c r="E93" s="9"/>
      <c r="F93" s="9"/>
      <c r="G93" s="9"/>
      <c r="H93" s="9"/>
      <c r="I93" s="9"/>
      <c r="J93" s="9"/>
      <c r="K93" s="9"/>
      <c r="L93" s="9"/>
    </row>
    <row r="94" spans="1:12" x14ac:dyDescent="0.25">
      <c r="E94" s="9"/>
      <c r="F94" s="9"/>
      <c r="G94" s="9"/>
      <c r="H94" s="9"/>
      <c r="I94" s="9"/>
      <c r="J94" s="9"/>
      <c r="K94" s="9"/>
      <c r="L94" s="9"/>
    </row>
    <row r="95" spans="1:12" x14ac:dyDescent="0.25">
      <c r="E95" s="9"/>
      <c r="F95" s="9"/>
      <c r="G95" s="9"/>
      <c r="H95" s="9"/>
      <c r="I95" s="9"/>
      <c r="J95" s="9"/>
      <c r="K95" s="9"/>
      <c r="L95" s="9"/>
    </row>
    <row r="96" spans="1:12" x14ac:dyDescent="0.25">
      <c r="E96" s="9"/>
      <c r="F96" s="9"/>
      <c r="G96" s="9"/>
      <c r="H96" s="9"/>
      <c r="I96" s="9"/>
      <c r="J96" s="9"/>
      <c r="K96" s="9"/>
      <c r="L96" s="9"/>
    </row>
    <row r="97" spans="1:12" x14ac:dyDescent="0.25">
      <c r="E97" s="9"/>
      <c r="F97" s="9"/>
      <c r="G97" s="9"/>
      <c r="H97" s="9"/>
      <c r="I97" s="9"/>
      <c r="J97" s="9"/>
      <c r="K97" s="9"/>
      <c r="L97" s="9"/>
    </row>
    <row r="98" spans="1:12" x14ac:dyDescent="0.25">
      <c r="E98" s="9"/>
      <c r="F98" s="9"/>
      <c r="G98" s="9"/>
      <c r="H98" s="9"/>
      <c r="I98" s="9"/>
      <c r="J98" s="9"/>
      <c r="K98" s="9"/>
      <c r="L98" s="9"/>
    </row>
    <row r="99" spans="1:12" x14ac:dyDescent="0.25">
      <c r="E99" s="9"/>
      <c r="F99" s="9"/>
      <c r="G99" s="9"/>
      <c r="H99" s="9"/>
      <c r="I99" s="9"/>
      <c r="J99" s="9"/>
      <c r="K99" s="9"/>
      <c r="L99" s="9"/>
    </row>
    <row r="100" spans="1:12" x14ac:dyDescent="0.25"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B106" s="4" t="s">
        <v>8</v>
      </c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D107" s="10" t="s">
        <v>7</v>
      </c>
      <c r="E107" s="11">
        <f t="shared" ref="E107:L107" si="13">SUM(E93:E106)</f>
        <v>0</v>
      </c>
      <c r="F107" s="11">
        <f t="shared" si="13"/>
        <v>0</v>
      </c>
      <c r="G107" s="11">
        <f t="shared" si="13"/>
        <v>0</v>
      </c>
      <c r="H107" s="11">
        <f t="shared" si="13"/>
        <v>0</v>
      </c>
      <c r="I107" s="11">
        <f t="shared" si="13"/>
        <v>0</v>
      </c>
      <c r="J107" s="11">
        <f t="shared" si="13"/>
        <v>0</v>
      </c>
      <c r="K107" s="11">
        <f t="shared" si="13"/>
        <v>0</v>
      </c>
      <c r="L107" s="11">
        <f t="shared" si="13"/>
        <v>0</v>
      </c>
    </row>
    <row r="108" spans="1:12" x14ac:dyDescent="0.25">
      <c r="D108" s="8" t="s">
        <v>9</v>
      </c>
      <c r="E108" s="4">
        <f t="shared" ref="E108:L108" si="14">+E91-E107</f>
        <v>0</v>
      </c>
      <c r="F108" s="4">
        <f t="shared" si="14"/>
        <v>0</v>
      </c>
      <c r="G108" s="4">
        <f t="shared" si="14"/>
        <v>0</v>
      </c>
      <c r="H108" s="4">
        <f t="shared" si="14"/>
        <v>0</v>
      </c>
      <c r="I108" s="4">
        <f t="shared" si="14"/>
        <v>0</v>
      </c>
      <c r="J108" s="4">
        <f t="shared" si="14"/>
        <v>0</v>
      </c>
      <c r="K108" s="4">
        <f t="shared" si="14"/>
        <v>0</v>
      </c>
      <c r="L108" s="4">
        <f t="shared" si="14"/>
        <v>0</v>
      </c>
    </row>
    <row r="109" spans="1:12" ht="13.8" thickBot="1" x14ac:dyDescent="0.3">
      <c r="D109" s="8" t="s">
        <v>10</v>
      </c>
      <c r="E109" s="12">
        <f t="shared" ref="E109:L109" si="15">+E79+E108</f>
        <v>0</v>
      </c>
      <c r="F109" s="12">
        <f t="shared" si="15"/>
        <v>0</v>
      </c>
      <c r="G109" s="12">
        <f t="shared" si="15"/>
        <v>0</v>
      </c>
      <c r="H109" s="12">
        <f t="shared" si="15"/>
        <v>0</v>
      </c>
      <c r="I109" s="12">
        <f t="shared" si="15"/>
        <v>0</v>
      </c>
      <c r="J109" s="12">
        <f t="shared" si="15"/>
        <v>0</v>
      </c>
      <c r="K109" s="12">
        <f t="shared" si="15"/>
        <v>0</v>
      </c>
      <c r="L109" s="12">
        <f t="shared" si="15"/>
        <v>0</v>
      </c>
    </row>
    <row r="110" spans="1:12" ht="13.8" thickTop="1" x14ac:dyDescent="0.25"/>
    <row r="111" spans="1:12" x14ac:dyDescent="0.25">
      <c r="A111" s="26" t="str">
        <f>+Grunddaten!B35</f>
        <v>Bank 4</v>
      </c>
      <c r="B111" s="18"/>
      <c r="C111" s="18"/>
      <c r="D111" s="18"/>
      <c r="E111" s="8" t="s">
        <v>1</v>
      </c>
      <c r="F111" s="15"/>
      <c r="G111" s="7"/>
      <c r="H111" s="7"/>
    </row>
    <row r="112" spans="1:12" x14ac:dyDescent="0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D113" s="8" t="s">
        <v>12</v>
      </c>
      <c r="E113" s="9">
        <v>0</v>
      </c>
      <c r="F113" s="4">
        <f t="shared" ref="F113:L113" si="16">+E143</f>
        <v>0</v>
      </c>
      <c r="G113" s="4">
        <f t="shared" si="16"/>
        <v>0</v>
      </c>
      <c r="H113" s="4">
        <f t="shared" si="16"/>
        <v>0</v>
      </c>
      <c r="I113" s="4">
        <f t="shared" si="16"/>
        <v>0</v>
      </c>
      <c r="J113" s="4">
        <f t="shared" si="16"/>
        <v>0</v>
      </c>
      <c r="K113" s="4">
        <f t="shared" si="16"/>
        <v>0</v>
      </c>
      <c r="L113" s="4">
        <f t="shared" si="16"/>
        <v>0</v>
      </c>
    </row>
    <row r="114" spans="1:12" x14ac:dyDescent="0.25">
      <c r="A114" s="25" t="s">
        <v>4</v>
      </c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25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25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25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25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25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E120" s="9"/>
      <c r="F120" s="9"/>
      <c r="G120" s="9"/>
      <c r="H120" s="9" t="s">
        <v>28</v>
      </c>
      <c r="I120" s="9" t="s">
        <v>28</v>
      </c>
      <c r="J120" s="9" t="s">
        <v>28</v>
      </c>
      <c r="K120" s="9"/>
      <c r="L120" s="9"/>
    </row>
    <row r="121" spans="1:12" x14ac:dyDescent="0.25"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B124" s="4" t="s">
        <v>8</v>
      </c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D125" s="10" t="s">
        <v>5</v>
      </c>
      <c r="E125" s="11">
        <f t="shared" ref="E125:L125" si="17">SUM(E114:E124)</f>
        <v>0</v>
      </c>
      <c r="F125" s="11">
        <f t="shared" si="17"/>
        <v>0</v>
      </c>
      <c r="G125" s="11">
        <f t="shared" si="17"/>
        <v>0</v>
      </c>
      <c r="H125" s="11">
        <f t="shared" si="17"/>
        <v>0</v>
      </c>
      <c r="I125" s="11">
        <f t="shared" si="17"/>
        <v>0</v>
      </c>
      <c r="J125" s="11">
        <f t="shared" si="17"/>
        <v>0</v>
      </c>
      <c r="K125" s="11">
        <f t="shared" si="17"/>
        <v>0</v>
      </c>
      <c r="L125" s="11">
        <f t="shared" si="17"/>
        <v>0</v>
      </c>
    </row>
    <row r="126" spans="1:12" x14ac:dyDescent="0.25">
      <c r="A126" s="25" t="s">
        <v>6</v>
      </c>
    </row>
    <row r="127" spans="1:12" x14ac:dyDescent="0.25">
      <c r="A127" s="25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5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5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5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5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5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B140" s="4" t="s">
        <v>8</v>
      </c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D141" s="10" t="s">
        <v>7</v>
      </c>
      <c r="E141" s="11">
        <f t="shared" ref="E141:L141" si="18">SUM(E127:E140)</f>
        <v>0</v>
      </c>
      <c r="F141" s="11">
        <f t="shared" si="18"/>
        <v>0</v>
      </c>
      <c r="G141" s="11">
        <f t="shared" si="18"/>
        <v>0</v>
      </c>
      <c r="H141" s="11">
        <f t="shared" si="18"/>
        <v>0</v>
      </c>
      <c r="I141" s="11">
        <f t="shared" si="18"/>
        <v>0</v>
      </c>
      <c r="J141" s="11">
        <f t="shared" si="18"/>
        <v>0</v>
      </c>
      <c r="K141" s="11">
        <f t="shared" si="18"/>
        <v>0</v>
      </c>
      <c r="L141" s="11">
        <f t="shared" si="18"/>
        <v>0</v>
      </c>
    </row>
    <row r="142" spans="1:12" x14ac:dyDescent="0.25">
      <c r="D142" s="8" t="s">
        <v>9</v>
      </c>
      <c r="E142" s="4">
        <f t="shared" ref="E142:L142" si="19">+E125-E141</f>
        <v>0</v>
      </c>
      <c r="F142" s="4">
        <f t="shared" si="19"/>
        <v>0</v>
      </c>
      <c r="G142" s="4">
        <f t="shared" si="19"/>
        <v>0</v>
      </c>
      <c r="H142" s="4">
        <f t="shared" si="19"/>
        <v>0</v>
      </c>
      <c r="I142" s="4">
        <f t="shared" si="19"/>
        <v>0</v>
      </c>
      <c r="J142" s="4">
        <f t="shared" si="19"/>
        <v>0</v>
      </c>
      <c r="K142" s="4">
        <f t="shared" si="19"/>
        <v>0</v>
      </c>
      <c r="L142" s="4">
        <f t="shared" si="19"/>
        <v>0</v>
      </c>
    </row>
    <row r="143" spans="1:12" ht="13.8" thickBot="1" x14ac:dyDescent="0.3">
      <c r="D143" s="8" t="s">
        <v>10</v>
      </c>
      <c r="E143" s="12">
        <f t="shared" ref="E143:L143" si="20">+E113+E142</f>
        <v>0</v>
      </c>
      <c r="F143" s="12">
        <f t="shared" si="20"/>
        <v>0</v>
      </c>
      <c r="G143" s="12">
        <f t="shared" si="20"/>
        <v>0</v>
      </c>
      <c r="H143" s="12">
        <f t="shared" si="20"/>
        <v>0</v>
      </c>
      <c r="I143" s="12">
        <f t="shared" si="20"/>
        <v>0</v>
      </c>
      <c r="J143" s="12">
        <f t="shared" si="20"/>
        <v>0</v>
      </c>
      <c r="K143" s="12">
        <f t="shared" si="20"/>
        <v>0</v>
      </c>
      <c r="L143" s="12">
        <f t="shared" si="20"/>
        <v>0</v>
      </c>
    </row>
    <row r="144" spans="1:12" ht="13.8" thickTop="1" x14ac:dyDescent="0.25">
      <c r="D144" s="8"/>
    </row>
    <row r="145" spans="1:12" x14ac:dyDescent="0.25">
      <c r="A145" s="26" t="str">
        <f>+Grunddaten!B36</f>
        <v>Bank 5</v>
      </c>
      <c r="B145" s="18"/>
      <c r="C145" s="18"/>
      <c r="D145" s="18"/>
      <c r="E145" s="8" t="s">
        <v>1</v>
      </c>
      <c r="F145" s="15">
        <f>+Grunddaten!D36</f>
        <v>0</v>
      </c>
      <c r="G145" s="7"/>
      <c r="H145" s="7"/>
    </row>
    <row r="146" spans="1:12" x14ac:dyDescent="0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D147" s="8" t="s">
        <v>12</v>
      </c>
      <c r="E147" s="9">
        <v>1.6</v>
      </c>
      <c r="F147" s="4">
        <f t="shared" ref="F147:L147" si="21">+E177</f>
        <v>2.2204460492503131E-15</v>
      </c>
      <c r="G147" s="4">
        <f t="shared" si="21"/>
        <v>14.600000000000001</v>
      </c>
      <c r="H147" s="4">
        <f t="shared" si="21"/>
        <v>15.500000000000004</v>
      </c>
      <c r="I147" s="4">
        <f t="shared" si="21"/>
        <v>5.5000000000000036</v>
      </c>
      <c r="J147" s="4">
        <f t="shared" si="21"/>
        <v>0.50000000000000355</v>
      </c>
      <c r="K147" s="4">
        <f t="shared" si="21"/>
        <v>0.50000000000000355</v>
      </c>
      <c r="L147" s="4">
        <f t="shared" si="21"/>
        <v>0.50000000000000355</v>
      </c>
    </row>
    <row r="148" spans="1:12" x14ac:dyDescent="0.25">
      <c r="A148" s="25" t="s">
        <v>4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B149" s="16" t="s">
        <v>43</v>
      </c>
      <c r="E149" s="9"/>
      <c r="F149" s="9">
        <v>14.6</v>
      </c>
      <c r="G149" s="9">
        <v>21.3</v>
      </c>
      <c r="H149" s="9">
        <v>10</v>
      </c>
      <c r="I149" s="9">
        <v>10</v>
      </c>
      <c r="J149" s="9"/>
      <c r="K149" s="9"/>
      <c r="L149" s="9">
        <v>20</v>
      </c>
    </row>
    <row r="150" spans="1:12" x14ac:dyDescent="0.25">
      <c r="B150" s="16" t="s">
        <v>53</v>
      </c>
      <c r="E150" s="9"/>
      <c r="F150" s="9"/>
      <c r="G150" s="9"/>
      <c r="H150" s="9"/>
      <c r="I150" s="9"/>
      <c r="J150" s="9"/>
      <c r="K150" s="9"/>
      <c r="L150" s="9"/>
    </row>
    <row r="151" spans="1:12" x14ac:dyDescent="0.25">
      <c r="B151" s="16" t="s">
        <v>65</v>
      </c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B152" s="16" t="s">
        <v>66</v>
      </c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B153" s="16" t="s">
        <v>67</v>
      </c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B158" s="4" t="s">
        <v>8</v>
      </c>
      <c r="E158" s="9">
        <v>20.6</v>
      </c>
      <c r="F158" s="9"/>
      <c r="G158" s="9"/>
      <c r="H158" s="9"/>
      <c r="I158" s="9"/>
      <c r="J158" s="9"/>
      <c r="K158" s="9"/>
      <c r="L158" s="9"/>
    </row>
    <row r="159" spans="1:12" x14ac:dyDescent="0.25">
      <c r="D159" s="10" t="s">
        <v>5</v>
      </c>
      <c r="E159" s="11">
        <f t="shared" ref="E159:L159" si="22">SUM(E148:E158)</f>
        <v>20.6</v>
      </c>
      <c r="F159" s="11">
        <f t="shared" si="22"/>
        <v>14.6</v>
      </c>
      <c r="G159" s="11">
        <f t="shared" si="22"/>
        <v>21.3</v>
      </c>
      <c r="H159" s="11">
        <f t="shared" si="22"/>
        <v>10</v>
      </c>
      <c r="I159" s="11">
        <f t="shared" si="22"/>
        <v>10</v>
      </c>
      <c r="J159" s="11">
        <f t="shared" si="22"/>
        <v>0</v>
      </c>
      <c r="K159" s="11">
        <f t="shared" si="22"/>
        <v>0</v>
      </c>
      <c r="L159" s="11">
        <f t="shared" si="22"/>
        <v>20</v>
      </c>
    </row>
    <row r="160" spans="1:12" x14ac:dyDescent="0.25">
      <c r="A160" s="25" t="s">
        <v>6</v>
      </c>
    </row>
    <row r="161" spans="2:12" x14ac:dyDescent="0.25">
      <c r="B161" s="16" t="s">
        <v>45</v>
      </c>
      <c r="E161" s="9"/>
      <c r="F161" s="9"/>
      <c r="G161" s="9"/>
      <c r="H161" s="9"/>
      <c r="I161" s="9"/>
      <c r="J161" s="9"/>
      <c r="K161" s="9"/>
      <c r="L161" s="9"/>
    </row>
    <row r="162" spans="2:12" x14ac:dyDescent="0.25">
      <c r="B162" s="16" t="s">
        <v>46</v>
      </c>
      <c r="E162" s="9"/>
      <c r="F162" s="9"/>
      <c r="G162" s="9"/>
      <c r="H162" s="9"/>
      <c r="I162" s="9"/>
      <c r="J162" s="9"/>
      <c r="K162" s="9"/>
      <c r="L162" s="9"/>
    </row>
    <row r="163" spans="2:12" x14ac:dyDescent="0.25">
      <c r="B163" s="16" t="s">
        <v>47</v>
      </c>
      <c r="E163" s="9"/>
      <c r="F163" s="9"/>
      <c r="G163" s="9"/>
      <c r="H163" s="9"/>
      <c r="I163" s="9"/>
      <c r="J163" s="9"/>
      <c r="K163" s="9"/>
      <c r="L163" s="9"/>
    </row>
    <row r="164" spans="2:12" x14ac:dyDescent="0.25">
      <c r="B164" s="16" t="s">
        <v>48</v>
      </c>
      <c r="E164" s="9"/>
      <c r="F164" s="9"/>
      <c r="G164" s="9"/>
      <c r="H164" s="9"/>
      <c r="I164" s="9"/>
      <c r="J164" s="9"/>
      <c r="K164" s="9"/>
      <c r="L164" s="9"/>
    </row>
    <row r="165" spans="2:12" x14ac:dyDescent="0.25">
      <c r="B165" s="16" t="s">
        <v>60</v>
      </c>
      <c r="E165" s="9">
        <v>22.2</v>
      </c>
      <c r="F165" s="9"/>
      <c r="G165" s="9">
        <v>20.399999999999999</v>
      </c>
      <c r="H165" s="9">
        <v>20</v>
      </c>
      <c r="I165" s="9">
        <v>15</v>
      </c>
      <c r="J165" s="9"/>
      <c r="K165" s="9"/>
      <c r="L165" s="9">
        <v>20</v>
      </c>
    </row>
    <row r="166" spans="2:12" x14ac:dyDescent="0.25">
      <c r="B166" s="16" t="s">
        <v>50</v>
      </c>
      <c r="E166" s="9"/>
      <c r="F166" s="9"/>
      <c r="G166" s="9"/>
      <c r="H166" s="9"/>
      <c r="I166" s="9"/>
      <c r="J166" s="9"/>
      <c r="K166" s="9"/>
      <c r="L166" s="9"/>
    </row>
    <row r="167" spans="2:12" x14ac:dyDescent="0.25">
      <c r="B167" s="16" t="s">
        <v>116</v>
      </c>
      <c r="E167" s="9"/>
      <c r="F167" s="9"/>
      <c r="G167" s="9"/>
      <c r="H167" s="9"/>
      <c r="I167" s="9"/>
      <c r="J167" s="9"/>
      <c r="K167" s="9"/>
      <c r="L167" s="9"/>
    </row>
    <row r="168" spans="2:12" x14ac:dyDescent="0.25">
      <c r="B168" s="16" t="s">
        <v>103</v>
      </c>
      <c r="C168" s="16"/>
      <c r="D168" s="16"/>
      <c r="E168" s="9"/>
      <c r="F168" s="9"/>
      <c r="G168" s="9"/>
      <c r="H168" s="9"/>
      <c r="I168" s="9"/>
      <c r="J168" s="9"/>
      <c r="K168" s="9"/>
      <c r="L168" s="9"/>
    </row>
    <row r="169" spans="2:12" ht="10.5" customHeight="1" x14ac:dyDescent="0.25">
      <c r="B169" s="4" t="s">
        <v>66</v>
      </c>
      <c r="E169" s="9"/>
      <c r="F169" s="9"/>
      <c r="G169" s="9"/>
      <c r="H169" s="9"/>
      <c r="I169" s="9"/>
      <c r="J169" s="9"/>
      <c r="K169" s="9"/>
      <c r="L169" s="9"/>
    </row>
    <row r="170" spans="2:12" x14ac:dyDescent="0.25">
      <c r="B170" s="4" t="s">
        <v>117</v>
      </c>
      <c r="E170" s="9"/>
      <c r="F170" s="9"/>
      <c r="G170" s="9"/>
      <c r="H170" s="9"/>
      <c r="I170" s="9"/>
      <c r="J170" s="9"/>
      <c r="K170" s="9"/>
      <c r="L170" s="9"/>
    </row>
    <row r="171" spans="2:12" x14ac:dyDescent="0.25">
      <c r="B171" s="4" t="s">
        <v>118</v>
      </c>
      <c r="E171" s="9"/>
      <c r="F171" s="9"/>
      <c r="G171" s="9"/>
      <c r="H171" s="9"/>
      <c r="I171" s="9"/>
      <c r="J171" s="9"/>
      <c r="K171" s="9"/>
      <c r="L171" s="9"/>
    </row>
    <row r="172" spans="2:12" ht="7.5" customHeight="1" x14ac:dyDescent="0.25">
      <c r="E172" s="9"/>
      <c r="F172" s="9"/>
      <c r="G172" s="9"/>
      <c r="H172" s="9"/>
      <c r="I172" s="9"/>
      <c r="J172" s="9"/>
      <c r="K172" s="9"/>
      <c r="L172" s="9"/>
    </row>
    <row r="173" spans="2:12" x14ac:dyDescent="0.25">
      <c r="E173" s="9"/>
      <c r="F173" s="9"/>
      <c r="G173" s="9"/>
      <c r="H173" s="9"/>
      <c r="I173" s="9"/>
      <c r="J173" s="9"/>
      <c r="K173" s="9"/>
      <c r="L173" s="9"/>
    </row>
    <row r="174" spans="2:12" x14ac:dyDescent="0.25">
      <c r="B174" s="4" t="s">
        <v>8</v>
      </c>
      <c r="E174" s="9"/>
      <c r="F174" s="9"/>
      <c r="G174" s="9"/>
      <c r="H174" s="9"/>
      <c r="I174" s="9"/>
      <c r="J174" s="9"/>
      <c r="K174" s="9"/>
      <c r="L174" s="9"/>
    </row>
    <row r="175" spans="2:12" x14ac:dyDescent="0.25">
      <c r="D175" s="10" t="s">
        <v>7</v>
      </c>
      <c r="E175" s="11">
        <f t="shared" ref="E175:L175" si="23">SUM(E161:E174)</f>
        <v>22.2</v>
      </c>
      <c r="F175" s="11">
        <f t="shared" si="23"/>
        <v>0</v>
      </c>
      <c r="G175" s="11">
        <f t="shared" si="23"/>
        <v>20.399999999999999</v>
      </c>
      <c r="H175" s="11">
        <f t="shared" si="23"/>
        <v>20</v>
      </c>
      <c r="I175" s="11">
        <f t="shared" si="23"/>
        <v>15</v>
      </c>
      <c r="J175" s="11">
        <f t="shared" si="23"/>
        <v>0</v>
      </c>
      <c r="K175" s="11">
        <f t="shared" si="23"/>
        <v>0</v>
      </c>
      <c r="L175" s="11">
        <f t="shared" si="23"/>
        <v>20</v>
      </c>
    </row>
    <row r="176" spans="2:12" x14ac:dyDescent="0.25">
      <c r="D176" s="8" t="s">
        <v>9</v>
      </c>
      <c r="E176" s="4">
        <f t="shared" ref="E176:L176" si="24">+E159-E175</f>
        <v>-1.5999999999999979</v>
      </c>
      <c r="F176" s="4">
        <f t="shared" si="24"/>
        <v>14.6</v>
      </c>
      <c r="G176" s="4">
        <f t="shared" si="24"/>
        <v>0.90000000000000213</v>
      </c>
      <c r="H176" s="4">
        <f t="shared" si="24"/>
        <v>-10</v>
      </c>
      <c r="I176" s="4">
        <f t="shared" si="24"/>
        <v>-5</v>
      </c>
      <c r="J176" s="4">
        <f t="shared" si="24"/>
        <v>0</v>
      </c>
      <c r="K176" s="4">
        <f t="shared" si="24"/>
        <v>0</v>
      </c>
      <c r="L176" s="4">
        <f t="shared" si="24"/>
        <v>0</v>
      </c>
    </row>
    <row r="177" spans="1:12" x14ac:dyDescent="0.25">
      <c r="D177" s="8" t="s">
        <v>10</v>
      </c>
      <c r="E177" s="4">
        <f t="shared" ref="E177:L177" si="25">+E147+E176</f>
        <v>2.2204460492503131E-15</v>
      </c>
      <c r="F177" s="4">
        <f t="shared" si="25"/>
        <v>14.600000000000001</v>
      </c>
      <c r="G177" s="4">
        <f t="shared" si="25"/>
        <v>15.500000000000004</v>
      </c>
      <c r="H177" s="4">
        <f t="shared" si="25"/>
        <v>5.5000000000000036</v>
      </c>
      <c r="I177" s="4">
        <f t="shared" si="25"/>
        <v>0.50000000000000355</v>
      </c>
      <c r="J177" s="4">
        <f t="shared" si="25"/>
        <v>0.50000000000000355</v>
      </c>
      <c r="K177" s="4">
        <f t="shared" si="25"/>
        <v>0.50000000000000355</v>
      </c>
      <c r="L177" s="4">
        <f t="shared" si="25"/>
        <v>0.50000000000000355</v>
      </c>
    </row>
    <row r="179" spans="1:12" x14ac:dyDescent="0.25">
      <c r="A179" s="29" t="str">
        <f>Grunddaten!B37</f>
        <v>Bank 6</v>
      </c>
      <c r="B179" s="30"/>
      <c r="C179" s="30"/>
      <c r="D179" s="30"/>
      <c r="E179" s="8" t="s">
        <v>1</v>
      </c>
      <c r="F179" s="15">
        <f>+Grunddaten!D37</f>
        <v>0</v>
      </c>
      <c r="G179" s="7"/>
      <c r="H179" s="7"/>
    </row>
    <row r="180" spans="1:12" x14ac:dyDescent="0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D181" s="8" t="s">
        <v>12</v>
      </c>
      <c r="E181" s="9">
        <v>-43.6</v>
      </c>
      <c r="F181" s="4">
        <f t="shared" ref="F181:L181" si="26">+E211</f>
        <v>-50.1</v>
      </c>
      <c r="G181" s="4">
        <f t="shared" si="26"/>
        <v>-49.300000000000004</v>
      </c>
      <c r="H181" s="4">
        <f t="shared" si="26"/>
        <v>-47.300000000000004</v>
      </c>
      <c r="I181" s="4">
        <f t="shared" si="26"/>
        <v>-45.300000000000004</v>
      </c>
      <c r="J181" s="4">
        <f t="shared" si="26"/>
        <v>-45.300000000000004</v>
      </c>
      <c r="K181" s="4">
        <f t="shared" si="26"/>
        <v>-45.300000000000004</v>
      </c>
      <c r="L181" s="4">
        <f t="shared" si="26"/>
        <v>-45.300000000000004</v>
      </c>
    </row>
    <row r="182" spans="1:12" x14ac:dyDescent="0.25">
      <c r="A182" s="25" t="s">
        <v>4</v>
      </c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25"/>
      <c r="B183" s="4" t="s">
        <v>43</v>
      </c>
      <c r="E183" s="9"/>
      <c r="F183" s="9">
        <v>2</v>
      </c>
      <c r="G183" s="9">
        <v>2</v>
      </c>
      <c r="H183" s="9">
        <v>2</v>
      </c>
      <c r="I183" s="9">
        <v>2</v>
      </c>
      <c r="J183" s="9"/>
      <c r="K183" s="9"/>
      <c r="L183" s="9">
        <v>2</v>
      </c>
    </row>
    <row r="184" spans="1:12" x14ac:dyDescent="0.25">
      <c r="A184" s="25"/>
      <c r="B184" s="4" t="s">
        <v>53</v>
      </c>
      <c r="E184" s="9"/>
      <c r="F184" s="9"/>
      <c r="G184" s="9"/>
      <c r="H184" s="9"/>
      <c r="I184" s="9"/>
      <c r="J184" s="9"/>
      <c r="K184" s="9"/>
      <c r="L184" s="9"/>
    </row>
    <row r="185" spans="1:12" x14ac:dyDescent="0.25">
      <c r="A185" s="25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25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25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E188" s="9"/>
      <c r="F188" s="9"/>
      <c r="G188" s="9"/>
      <c r="H188" s="9"/>
      <c r="I188" s="9"/>
      <c r="J188" s="9"/>
      <c r="K188" s="9"/>
      <c r="L188" s="9"/>
    </row>
    <row r="189" spans="1:12" ht="7.5" customHeight="1" x14ac:dyDescent="0.25"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B192" s="4" t="s">
        <v>8</v>
      </c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D193" s="10" t="s">
        <v>5</v>
      </c>
      <c r="E193" s="11">
        <f t="shared" ref="E193:L193" si="27">SUM(E182:E192)</f>
        <v>0</v>
      </c>
      <c r="F193" s="11">
        <f t="shared" si="27"/>
        <v>2</v>
      </c>
      <c r="G193" s="11">
        <f t="shared" si="27"/>
        <v>2</v>
      </c>
      <c r="H193" s="11">
        <f t="shared" si="27"/>
        <v>2</v>
      </c>
      <c r="I193" s="11">
        <f t="shared" si="27"/>
        <v>2</v>
      </c>
      <c r="J193" s="11">
        <f t="shared" si="27"/>
        <v>0</v>
      </c>
      <c r="K193" s="11">
        <f t="shared" si="27"/>
        <v>0</v>
      </c>
      <c r="L193" s="11">
        <f t="shared" si="27"/>
        <v>2</v>
      </c>
    </row>
    <row r="194" spans="1:12" x14ac:dyDescent="0.25">
      <c r="A194" s="25" t="s">
        <v>6</v>
      </c>
    </row>
    <row r="195" spans="1:12" x14ac:dyDescent="0.25">
      <c r="B195" s="16" t="s">
        <v>107</v>
      </c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B196" s="16" t="s">
        <v>46</v>
      </c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B197" s="16" t="s">
        <v>47</v>
      </c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B198" s="16" t="s">
        <v>48</v>
      </c>
      <c r="E198" s="9"/>
      <c r="F198" s="9"/>
      <c r="G198" s="9"/>
      <c r="H198" s="9"/>
      <c r="I198" s="9"/>
      <c r="J198" s="9"/>
      <c r="K198" s="9"/>
      <c r="L198" s="9"/>
    </row>
    <row r="199" spans="1:12" x14ac:dyDescent="0.25">
      <c r="B199" s="16" t="s">
        <v>68</v>
      </c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B200" s="16" t="s">
        <v>69</v>
      </c>
      <c r="E200" s="9">
        <v>6.5</v>
      </c>
      <c r="F200" s="9">
        <v>1.2</v>
      </c>
      <c r="G200" s="9"/>
      <c r="H200" s="9"/>
      <c r="I200" s="9">
        <v>2</v>
      </c>
      <c r="J200" s="9"/>
      <c r="K200" s="9"/>
      <c r="L200" s="9"/>
    </row>
    <row r="201" spans="1:12" x14ac:dyDescent="0.25">
      <c r="B201" s="16" t="s">
        <v>70</v>
      </c>
      <c r="E201" s="9"/>
      <c r="F201" s="9"/>
      <c r="G201" s="9"/>
      <c r="H201" s="9"/>
      <c r="I201" s="9"/>
      <c r="J201" s="9"/>
      <c r="K201" s="9"/>
      <c r="L201" s="9"/>
    </row>
    <row r="202" spans="1:12" x14ac:dyDescent="0.25">
      <c r="B202" s="16" t="s">
        <v>56</v>
      </c>
      <c r="E202" s="9"/>
      <c r="F202" s="9"/>
      <c r="G202" s="9"/>
      <c r="H202" s="9"/>
      <c r="I202" s="9"/>
      <c r="J202" s="9"/>
      <c r="K202" s="9"/>
      <c r="L202" s="9"/>
    </row>
    <row r="203" spans="1:12" ht="10.5" customHeight="1" x14ac:dyDescent="0.25">
      <c r="B203" s="16" t="s">
        <v>57</v>
      </c>
      <c r="E203" s="9"/>
      <c r="F203" s="9"/>
      <c r="G203" s="9"/>
      <c r="H203" s="9"/>
      <c r="I203" s="9"/>
      <c r="J203" s="9"/>
      <c r="K203" s="9"/>
      <c r="L203" s="9"/>
    </row>
    <row r="204" spans="1:12" x14ac:dyDescent="0.25">
      <c r="B204" s="4" t="s">
        <v>51</v>
      </c>
      <c r="E204" s="9"/>
      <c r="F204" s="9"/>
      <c r="G204" s="9"/>
      <c r="H204" s="9"/>
      <c r="I204" s="9"/>
      <c r="J204" s="9"/>
      <c r="K204" s="9"/>
      <c r="L204" s="9"/>
    </row>
    <row r="205" spans="1:12" x14ac:dyDescent="0.25">
      <c r="B205" s="4" t="s">
        <v>94</v>
      </c>
      <c r="E205" s="9"/>
      <c r="F205" s="9"/>
      <c r="G205" s="9"/>
      <c r="H205" s="9"/>
      <c r="I205" s="9"/>
      <c r="J205" s="9"/>
      <c r="K205" s="9"/>
      <c r="L205" s="9"/>
    </row>
    <row r="206" spans="1:12" ht="10.5" customHeight="1" x14ac:dyDescent="0.25">
      <c r="B206" s="4" t="s">
        <v>101</v>
      </c>
      <c r="E206" s="9"/>
      <c r="F206" s="9"/>
      <c r="G206" s="9"/>
      <c r="H206" s="9"/>
      <c r="I206" s="9"/>
      <c r="J206" s="9"/>
      <c r="K206" s="9"/>
      <c r="L206" s="9"/>
    </row>
    <row r="207" spans="1:12" x14ac:dyDescent="0.25">
      <c r="E207" s="9"/>
      <c r="F207" s="9"/>
      <c r="G207" s="9"/>
      <c r="H207" s="9"/>
      <c r="I207" s="9"/>
      <c r="J207" s="9"/>
      <c r="K207" s="9"/>
      <c r="L207" s="9"/>
    </row>
    <row r="208" spans="1:12" x14ac:dyDescent="0.25">
      <c r="B208" s="4" t="s">
        <v>8</v>
      </c>
      <c r="E208" s="9"/>
      <c r="F208" s="9"/>
      <c r="G208" s="9"/>
      <c r="H208" s="9"/>
      <c r="I208" s="9"/>
      <c r="J208" s="9"/>
      <c r="K208" s="9"/>
      <c r="L208" s="9"/>
    </row>
    <row r="209" spans="1:12" x14ac:dyDescent="0.25">
      <c r="D209" s="10" t="s">
        <v>7</v>
      </c>
      <c r="E209" s="11">
        <f t="shared" ref="E209:L209" si="28">SUM(E195:E208)</f>
        <v>6.5</v>
      </c>
      <c r="F209" s="11">
        <f t="shared" si="28"/>
        <v>1.2</v>
      </c>
      <c r="G209" s="11">
        <f t="shared" si="28"/>
        <v>0</v>
      </c>
      <c r="H209" s="11">
        <f t="shared" si="28"/>
        <v>0</v>
      </c>
      <c r="I209" s="11">
        <f t="shared" si="28"/>
        <v>2</v>
      </c>
      <c r="J209" s="11">
        <f t="shared" si="28"/>
        <v>0</v>
      </c>
      <c r="K209" s="11">
        <f t="shared" si="28"/>
        <v>0</v>
      </c>
      <c r="L209" s="11">
        <f t="shared" si="28"/>
        <v>0</v>
      </c>
    </row>
    <row r="210" spans="1:12" x14ac:dyDescent="0.25">
      <c r="D210" s="8" t="s">
        <v>9</v>
      </c>
      <c r="E210" s="4">
        <f t="shared" ref="E210:L210" si="29">+E193-E209</f>
        <v>-6.5</v>
      </c>
      <c r="F210" s="4">
        <f t="shared" si="29"/>
        <v>0.8</v>
      </c>
      <c r="G210" s="4">
        <f t="shared" si="29"/>
        <v>2</v>
      </c>
      <c r="H210" s="4">
        <f t="shared" si="29"/>
        <v>2</v>
      </c>
      <c r="I210" s="4">
        <f t="shared" si="29"/>
        <v>0</v>
      </c>
      <c r="J210" s="4">
        <f t="shared" si="29"/>
        <v>0</v>
      </c>
      <c r="K210" s="4">
        <f t="shared" si="29"/>
        <v>0</v>
      </c>
      <c r="L210" s="4">
        <f t="shared" si="29"/>
        <v>2</v>
      </c>
    </row>
    <row r="211" spans="1:12" ht="13.8" thickBot="1" x14ac:dyDescent="0.3">
      <c r="D211" s="8" t="s">
        <v>10</v>
      </c>
      <c r="E211" s="12">
        <f t="shared" ref="E211:L211" si="30">+E181+E210</f>
        <v>-50.1</v>
      </c>
      <c r="F211" s="12">
        <f t="shared" si="30"/>
        <v>-49.300000000000004</v>
      </c>
      <c r="G211" s="12">
        <f t="shared" si="30"/>
        <v>-47.300000000000004</v>
      </c>
      <c r="H211" s="12">
        <f t="shared" si="30"/>
        <v>-45.300000000000004</v>
      </c>
      <c r="I211" s="12">
        <f t="shared" si="30"/>
        <v>-45.300000000000004</v>
      </c>
      <c r="J211" s="12">
        <f t="shared" si="30"/>
        <v>-45.300000000000004</v>
      </c>
      <c r="K211" s="12">
        <f t="shared" si="30"/>
        <v>-45.300000000000004</v>
      </c>
      <c r="L211" s="12">
        <f t="shared" si="30"/>
        <v>-43.300000000000004</v>
      </c>
    </row>
    <row r="212" spans="1:12" ht="13.8" thickTop="1" x14ac:dyDescent="0.25">
      <c r="D212" s="8"/>
    </row>
    <row r="213" spans="1:12" x14ac:dyDescent="0.25">
      <c r="A213" s="29" t="str">
        <f>Grunddaten!B38</f>
        <v>Bank 7</v>
      </c>
      <c r="B213" s="30"/>
      <c r="C213" s="30"/>
      <c r="D213" s="30"/>
      <c r="E213" s="8" t="s">
        <v>1</v>
      </c>
      <c r="F213" s="15">
        <f>+Grunddaten!D38</f>
        <v>0</v>
      </c>
      <c r="G213" s="7"/>
      <c r="H213" s="7"/>
    </row>
    <row r="214" spans="1:12" x14ac:dyDescent="0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D215" s="8" t="s">
        <v>12</v>
      </c>
      <c r="E215" s="9">
        <v>0.5</v>
      </c>
      <c r="F215" s="4">
        <f t="shared" ref="F215:L215" si="31">+E245</f>
        <v>0.5</v>
      </c>
      <c r="G215" s="4">
        <f t="shared" si="31"/>
        <v>0</v>
      </c>
      <c r="H215" s="4">
        <f t="shared" si="31"/>
        <v>1</v>
      </c>
      <c r="I215" s="4">
        <f t="shared" si="31"/>
        <v>2</v>
      </c>
      <c r="J215" s="4">
        <f t="shared" si="31"/>
        <v>3</v>
      </c>
      <c r="K215" s="4">
        <f t="shared" si="31"/>
        <v>3</v>
      </c>
      <c r="L215" s="4">
        <f t="shared" si="31"/>
        <v>3</v>
      </c>
    </row>
    <row r="216" spans="1:12" x14ac:dyDescent="0.25">
      <c r="A216" s="25" t="s">
        <v>4</v>
      </c>
      <c r="E216" s="9"/>
      <c r="F216" s="9"/>
      <c r="G216" s="9"/>
      <c r="H216" s="9"/>
      <c r="I216" s="9"/>
      <c r="J216" s="9"/>
      <c r="K216" s="9"/>
      <c r="L216" s="9"/>
    </row>
    <row r="217" spans="1:12" x14ac:dyDescent="0.25">
      <c r="A217" s="25"/>
      <c r="B217" s="4" t="s">
        <v>43</v>
      </c>
      <c r="E217" s="9"/>
      <c r="F217" s="9">
        <v>1</v>
      </c>
      <c r="G217" s="9">
        <v>1</v>
      </c>
      <c r="H217" s="9">
        <v>1</v>
      </c>
      <c r="I217" s="9">
        <v>1</v>
      </c>
      <c r="J217" s="9"/>
      <c r="K217" s="9"/>
      <c r="L217" s="9">
        <v>1</v>
      </c>
    </row>
    <row r="218" spans="1:12" x14ac:dyDescent="0.25">
      <c r="A218" s="25"/>
      <c r="E218" s="9"/>
      <c r="F218" s="9"/>
      <c r="G218" s="9"/>
      <c r="H218" s="9"/>
      <c r="I218" s="9"/>
      <c r="J218" s="9"/>
      <c r="K218" s="9"/>
      <c r="L218" s="9"/>
    </row>
    <row r="219" spans="1:12" x14ac:dyDescent="0.25">
      <c r="A219" s="25"/>
      <c r="E219" s="9"/>
      <c r="F219" s="9"/>
      <c r="G219" s="9"/>
      <c r="H219" s="9"/>
      <c r="I219" s="9"/>
      <c r="J219" s="9"/>
      <c r="K219" s="9"/>
      <c r="L219" s="9"/>
    </row>
    <row r="220" spans="1:12" x14ac:dyDescent="0.25">
      <c r="A220" s="25"/>
      <c r="E220" s="9"/>
      <c r="F220" s="9"/>
      <c r="G220" s="9"/>
      <c r="H220" s="9"/>
      <c r="I220" s="9"/>
      <c r="J220" s="9"/>
      <c r="K220" s="9"/>
      <c r="L220" s="9"/>
    </row>
    <row r="221" spans="1:12" x14ac:dyDescent="0.25">
      <c r="A221" s="25"/>
      <c r="E221" s="9"/>
      <c r="F221" s="9"/>
      <c r="G221" s="9"/>
      <c r="H221" s="9"/>
      <c r="I221" s="9"/>
      <c r="J221" s="9"/>
      <c r="K221" s="9"/>
      <c r="L221" s="9"/>
    </row>
    <row r="222" spans="1:12" x14ac:dyDescent="0.25">
      <c r="E222" s="9"/>
      <c r="F222" s="9"/>
      <c r="G222" s="9"/>
      <c r="H222" s="9"/>
      <c r="I222" s="9"/>
      <c r="J222" s="9"/>
      <c r="K222" s="9"/>
      <c r="L222" s="9"/>
    </row>
    <row r="223" spans="1:12" x14ac:dyDescent="0.25">
      <c r="E223" s="9"/>
      <c r="F223" s="9"/>
      <c r="G223" s="9"/>
      <c r="H223" s="9"/>
      <c r="I223" s="9"/>
      <c r="J223" s="9"/>
      <c r="K223" s="9"/>
      <c r="L223" s="9"/>
    </row>
    <row r="224" spans="1:12" x14ac:dyDescent="0.25">
      <c r="E224" s="9"/>
      <c r="F224" s="9"/>
      <c r="G224" s="9"/>
      <c r="H224" s="9"/>
      <c r="I224" s="9"/>
      <c r="J224" s="9"/>
      <c r="K224" s="9"/>
      <c r="L224" s="9"/>
    </row>
    <row r="225" spans="1:12" x14ac:dyDescent="0.25">
      <c r="E225" s="9"/>
      <c r="F225" s="9"/>
      <c r="G225" s="9"/>
      <c r="H225" s="9"/>
      <c r="I225" s="9"/>
      <c r="J225" s="9"/>
      <c r="K225" s="9"/>
      <c r="L225" s="9"/>
    </row>
    <row r="226" spans="1:12" x14ac:dyDescent="0.25">
      <c r="B226" s="4" t="s">
        <v>8</v>
      </c>
      <c r="E226" s="9"/>
      <c r="F226" s="9"/>
      <c r="G226" s="9"/>
      <c r="H226" s="9"/>
      <c r="I226" s="9"/>
      <c r="J226" s="9"/>
      <c r="K226" s="9"/>
      <c r="L226" s="9"/>
    </row>
    <row r="227" spans="1:12" x14ac:dyDescent="0.25">
      <c r="D227" s="10" t="s">
        <v>5</v>
      </c>
      <c r="E227" s="11">
        <f t="shared" ref="E227:L227" si="32">SUM(E216:E226)</f>
        <v>0</v>
      </c>
      <c r="F227" s="11">
        <f t="shared" si="32"/>
        <v>1</v>
      </c>
      <c r="G227" s="11">
        <f t="shared" si="32"/>
        <v>1</v>
      </c>
      <c r="H227" s="11">
        <f t="shared" si="32"/>
        <v>1</v>
      </c>
      <c r="I227" s="11">
        <f t="shared" si="32"/>
        <v>1</v>
      </c>
      <c r="J227" s="11">
        <f t="shared" si="32"/>
        <v>0</v>
      </c>
      <c r="K227" s="11">
        <f t="shared" si="32"/>
        <v>0</v>
      </c>
      <c r="L227" s="11">
        <f t="shared" si="32"/>
        <v>1</v>
      </c>
    </row>
    <row r="228" spans="1:12" x14ac:dyDescent="0.25">
      <c r="A228" s="25" t="s">
        <v>6</v>
      </c>
    </row>
    <row r="229" spans="1:12" x14ac:dyDescent="0.25">
      <c r="B229" s="16" t="s">
        <v>69</v>
      </c>
      <c r="E229" s="9"/>
      <c r="F229" s="9">
        <v>1.5</v>
      </c>
      <c r="G229" s="9"/>
      <c r="H229" s="9"/>
      <c r="I229" s="9"/>
      <c r="J229" s="9"/>
      <c r="K229" s="9"/>
      <c r="L229" s="9">
        <v>3</v>
      </c>
    </row>
    <row r="230" spans="1:12" x14ac:dyDescent="0.25">
      <c r="B230" s="16" t="s">
        <v>51</v>
      </c>
      <c r="E230" s="9"/>
      <c r="F230" s="9"/>
      <c r="G230" s="9"/>
      <c r="H230" s="9"/>
      <c r="I230" s="9"/>
      <c r="J230" s="9"/>
      <c r="K230" s="9"/>
      <c r="L230" s="9"/>
    </row>
    <row r="231" spans="1:12" x14ac:dyDescent="0.25">
      <c r="B231" s="16" t="s">
        <v>48</v>
      </c>
      <c r="E231" s="9"/>
      <c r="F231" s="9"/>
      <c r="G231" s="9"/>
      <c r="H231" s="9"/>
      <c r="I231" s="9"/>
      <c r="J231" s="9"/>
      <c r="K231" s="9"/>
      <c r="L231" s="9"/>
    </row>
    <row r="232" spans="1:12" x14ac:dyDescent="0.25">
      <c r="B232" s="4" t="s">
        <v>95</v>
      </c>
      <c r="E232" s="9"/>
      <c r="F232" s="9"/>
      <c r="G232" s="9"/>
      <c r="H232" s="9"/>
      <c r="I232" s="9"/>
      <c r="J232" s="9"/>
      <c r="K232" s="9"/>
      <c r="L232" s="9"/>
    </row>
    <row r="233" spans="1:12" x14ac:dyDescent="0.25"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E234" s="9"/>
      <c r="F234" s="9"/>
      <c r="G234" s="9"/>
      <c r="H234" s="9"/>
      <c r="I234" s="9"/>
      <c r="J234" s="9"/>
      <c r="K234" s="9"/>
      <c r="L234" s="9"/>
    </row>
    <row r="235" spans="1:12" x14ac:dyDescent="0.25">
      <c r="E235" s="9"/>
      <c r="F235" s="9"/>
      <c r="G235" s="9"/>
      <c r="H235" s="9"/>
      <c r="I235" s="9"/>
      <c r="J235" s="9"/>
      <c r="K235" s="9"/>
      <c r="L235" s="9"/>
    </row>
    <row r="236" spans="1:12" x14ac:dyDescent="0.25">
      <c r="E236" s="9"/>
      <c r="F236" s="9"/>
      <c r="G236" s="9"/>
      <c r="H236" s="9"/>
      <c r="I236" s="9"/>
      <c r="J236" s="9"/>
      <c r="K236" s="9"/>
      <c r="L236" s="9"/>
    </row>
    <row r="237" spans="1:12" ht="5.25" customHeight="1" x14ac:dyDescent="0.25">
      <c r="E237" s="9"/>
      <c r="F237" s="9"/>
      <c r="G237" s="9"/>
      <c r="H237" s="9"/>
      <c r="I237" s="9"/>
      <c r="J237" s="9"/>
      <c r="K237" s="9"/>
      <c r="L237" s="9"/>
    </row>
    <row r="238" spans="1:12" x14ac:dyDescent="0.25">
      <c r="E238" s="9"/>
      <c r="F238" s="9"/>
      <c r="G238" s="9"/>
      <c r="H238" s="9"/>
      <c r="I238" s="9"/>
      <c r="J238" s="9"/>
      <c r="K238" s="9"/>
      <c r="L238" s="9"/>
    </row>
    <row r="239" spans="1:12" x14ac:dyDescent="0.25">
      <c r="E239" s="9"/>
      <c r="F239" s="9"/>
      <c r="G239" s="9"/>
      <c r="H239" s="9"/>
      <c r="I239" s="9"/>
      <c r="J239" s="9"/>
      <c r="K239" s="9"/>
      <c r="L239" s="9"/>
    </row>
    <row r="240" spans="1:12" x14ac:dyDescent="0.25">
      <c r="E240" s="9"/>
      <c r="F240" s="9"/>
      <c r="G240" s="9"/>
      <c r="H240" s="9"/>
      <c r="I240" s="9"/>
      <c r="J240" s="9"/>
      <c r="K240" s="9"/>
      <c r="L240" s="9"/>
    </row>
    <row r="241" spans="1:12" x14ac:dyDescent="0.25">
      <c r="E241" s="9"/>
      <c r="F241" s="9"/>
      <c r="G241" s="9"/>
      <c r="H241" s="9"/>
      <c r="I241" s="9"/>
      <c r="J241" s="9"/>
      <c r="K241" s="9"/>
      <c r="L241" s="9"/>
    </row>
    <row r="242" spans="1:12" x14ac:dyDescent="0.25">
      <c r="B242" s="4" t="s">
        <v>8</v>
      </c>
      <c r="E242" s="9"/>
      <c r="F242" s="9"/>
      <c r="G242" s="9"/>
      <c r="H242" s="9"/>
      <c r="I242" s="9"/>
      <c r="J242" s="9"/>
      <c r="K242" s="9"/>
      <c r="L242" s="9"/>
    </row>
    <row r="243" spans="1:12" x14ac:dyDescent="0.25">
      <c r="D243" s="10" t="s">
        <v>7</v>
      </c>
      <c r="E243" s="11">
        <f t="shared" ref="E243:L243" si="33">SUM(E229:E242)</f>
        <v>0</v>
      </c>
      <c r="F243" s="11">
        <f t="shared" si="33"/>
        <v>1.5</v>
      </c>
      <c r="G243" s="11">
        <f t="shared" si="33"/>
        <v>0</v>
      </c>
      <c r="H243" s="11">
        <f t="shared" si="33"/>
        <v>0</v>
      </c>
      <c r="I243" s="11">
        <f t="shared" si="33"/>
        <v>0</v>
      </c>
      <c r="J243" s="11">
        <f t="shared" si="33"/>
        <v>0</v>
      </c>
      <c r="K243" s="11">
        <f t="shared" si="33"/>
        <v>0</v>
      </c>
      <c r="L243" s="11">
        <f t="shared" si="33"/>
        <v>3</v>
      </c>
    </row>
    <row r="244" spans="1:12" x14ac:dyDescent="0.25">
      <c r="D244" s="8" t="s">
        <v>9</v>
      </c>
      <c r="E244" s="4">
        <f>+E227-E243</f>
        <v>0</v>
      </c>
      <c r="F244" s="4">
        <f t="shared" ref="F244:L244" si="34">+F227-F243</f>
        <v>-0.5</v>
      </c>
      <c r="G244" s="4">
        <f t="shared" si="34"/>
        <v>1</v>
      </c>
      <c r="H244" s="4">
        <f t="shared" si="34"/>
        <v>1</v>
      </c>
      <c r="I244" s="4">
        <f t="shared" si="34"/>
        <v>1</v>
      </c>
      <c r="J244" s="4">
        <f t="shared" si="34"/>
        <v>0</v>
      </c>
      <c r="K244" s="4">
        <f t="shared" si="34"/>
        <v>0</v>
      </c>
      <c r="L244" s="4">
        <f t="shared" si="34"/>
        <v>-2</v>
      </c>
    </row>
    <row r="245" spans="1:12" ht="13.8" thickBot="1" x14ac:dyDescent="0.3">
      <c r="D245" s="8" t="s">
        <v>10</v>
      </c>
      <c r="E245" s="12">
        <f>+E215+E244</f>
        <v>0.5</v>
      </c>
      <c r="F245" s="12">
        <f t="shared" ref="F245:L245" si="35">+F215+F244</f>
        <v>0</v>
      </c>
      <c r="G245" s="12">
        <f t="shared" si="35"/>
        <v>1</v>
      </c>
      <c r="H245" s="12">
        <f t="shared" si="35"/>
        <v>2</v>
      </c>
      <c r="I245" s="12">
        <f t="shared" si="35"/>
        <v>3</v>
      </c>
      <c r="J245" s="12">
        <f t="shared" si="35"/>
        <v>3</v>
      </c>
      <c r="K245" s="12">
        <f t="shared" si="35"/>
        <v>3</v>
      </c>
      <c r="L245" s="12">
        <f t="shared" si="35"/>
        <v>1</v>
      </c>
    </row>
    <row r="246" spans="1:12" ht="13.8" thickTop="1" x14ac:dyDescent="0.25"/>
    <row r="247" spans="1:12" x14ac:dyDescent="0.25">
      <c r="A247" s="29" t="str">
        <f>Grunddaten!B39</f>
        <v>Bank 8</v>
      </c>
      <c r="B247" s="30"/>
      <c r="C247" s="30"/>
      <c r="D247" s="30"/>
      <c r="E247" s="8" t="s">
        <v>1</v>
      </c>
      <c r="F247" s="15">
        <f>+Grunddaten!D39</f>
        <v>0</v>
      </c>
      <c r="G247" s="7"/>
      <c r="H247" s="7"/>
    </row>
    <row r="248" spans="1:12" x14ac:dyDescent="0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D249" s="8" t="s">
        <v>12</v>
      </c>
      <c r="E249" s="9"/>
      <c r="F249" s="4">
        <f t="shared" ref="F249:L249" si="36">+E279</f>
        <v>0</v>
      </c>
      <c r="G249" s="4">
        <f t="shared" si="36"/>
        <v>0</v>
      </c>
      <c r="H249" s="4">
        <f t="shared" si="36"/>
        <v>0</v>
      </c>
      <c r="I249" s="4">
        <f t="shared" si="36"/>
        <v>0</v>
      </c>
      <c r="J249" s="4">
        <f t="shared" si="36"/>
        <v>0</v>
      </c>
      <c r="K249" s="4">
        <f t="shared" si="36"/>
        <v>0</v>
      </c>
      <c r="L249" s="4">
        <f t="shared" si="36"/>
        <v>0</v>
      </c>
    </row>
    <row r="250" spans="1:12" x14ac:dyDescent="0.25">
      <c r="A250" s="25" t="s">
        <v>4</v>
      </c>
      <c r="E250" s="9"/>
      <c r="F250" s="9"/>
      <c r="G250" s="9"/>
      <c r="H250" s="9"/>
      <c r="I250" s="9"/>
      <c r="J250" s="9"/>
      <c r="K250" s="9"/>
      <c r="L250" s="9"/>
    </row>
    <row r="251" spans="1:12" x14ac:dyDescent="0.25">
      <c r="A251" s="25"/>
      <c r="E251" s="9"/>
      <c r="F251" s="9"/>
      <c r="G251" s="9"/>
      <c r="H251" s="9"/>
      <c r="I251" s="9"/>
      <c r="J251" s="9"/>
      <c r="K251" s="9"/>
      <c r="L251" s="9"/>
    </row>
    <row r="252" spans="1:12" x14ac:dyDescent="0.25">
      <c r="A252" s="25"/>
      <c r="E252" s="9"/>
      <c r="F252" s="9"/>
      <c r="G252" s="9"/>
      <c r="H252" s="9"/>
      <c r="I252" s="9"/>
      <c r="J252" s="9"/>
      <c r="K252" s="9"/>
      <c r="L252" s="9"/>
    </row>
    <row r="253" spans="1:12" x14ac:dyDescent="0.25">
      <c r="A253" s="25"/>
      <c r="E253" s="9"/>
      <c r="F253" s="9"/>
      <c r="G253" s="9"/>
      <c r="H253" s="9"/>
      <c r="I253" s="9"/>
      <c r="J253" s="9"/>
      <c r="K253" s="9"/>
      <c r="L253" s="9"/>
    </row>
    <row r="254" spans="1:12" x14ac:dyDescent="0.25">
      <c r="A254" s="25"/>
      <c r="E254" s="9"/>
      <c r="F254" s="9"/>
      <c r="G254" s="9"/>
      <c r="H254" s="9"/>
      <c r="I254" s="9"/>
      <c r="J254" s="9"/>
      <c r="K254" s="9"/>
      <c r="L254" s="9"/>
    </row>
    <row r="255" spans="1:12" x14ac:dyDescent="0.25">
      <c r="A255" s="25"/>
      <c r="E255" s="9"/>
      <c r="F255" s="9"/>
      <c r="G255" s="9"/>
      <c r="H255" s="9"/>
      <c r="I255" s="9"/>
      <c r="J255" s="9"/>
      <c r="K255" s="9"/>
      <c r="L255" s="9"/>
    </row>
    <row r="256" spans="1:12" x14ac:dyDescent="0.25">
      <c r="E256" s="9"/>
      <c r="F256" s="9"/>
      <c r="G256" s="9"/>
      <c r="H256" s="9"/>
      <c r="I256" s="9"/>
      <c r="J256" s="9"/>
      <c r="K256" s="9"/>
      <c r="L256" s="9"/>
    </row>
    <row r="257" spans="1:12" x14ac:dyDescent="0.25">
      <c r="E257" s="9"/>
      <c r="F257" s="9"/>
      <c r="G257" s="9"/>
      <c r="H257" s="9"/>
      <c r="I257" s="9"/>
      <c r="J257" s="9"/>
      <c r="K257" s="9"/>
      <c r="L257" s="9"/>
    </row>
    <row r="258" spans="1:12" x14ac:dyDescent="0.25">
      <c r="E258" s="9"/>
      <c r="F258" s="9"/>
      <c r="G258" s="9"/>
      <c r="H258" s="9"/>
      <c r="I258" s="9"/>
      <c r="J258" s="9"/>
      <c r="K258" s="9"/>
      <c r="L258" s="9"/>
    </row>
    <row r="259" spans="1:12" x14ac:dyDescent="0.25">
      <c r="E259" s="9"/>
      <c r="F259" s="9"/>
      <c r="G259" s="9"/>
      <c r="H259" s="9"/>
      <c r="I259" s="9"/>
      <c r="J259" s="9"/>
      <c r="K259" s="9"/>
      <c r="L259" s="9"/>
    </row>
    <row r="260" spans="1:12" x14ac:dyDescent="0.25">
      <c r="B260" s="4" t="s">
        <v>8</v>
      </c>
      <c r="E260" s="9"/>
      <c r="F260" s="9"/>
      <c r="G260" s="9"/>
      <c r="H260" s="9"/>
      <c r="I260" s="9"/>
      <c r="J260" s="9"/>
      <c r="K260" s="9"/>
      <c r="L260" s="9"/>
    </row>
    <row r="261" spans="1:12" x14ac:dyDescent="0.25">
      <c r="D261" s="10" t="s">
        <v>5</v>
      </c>
      <c r="E261" s="11">
        <f t="shared" ref="E261:L261" si="37">SUM(E250:E260)</f>
        <v>0</v>
      </c>
      <c r="F261" s="11">
        <f t="shared" si="37"/>
        <v>0</v>
      </c>
      <c r="G261" s="11">
        <f t="shared" si="37"/>
        <v>0</v>
      </c>
      <c r="H261" s="11">
        <f t="shared" si="37"/>
        <v>0</v>
      </c>
      <c r="I261" s="11">
        <f t="shared" si="37"/>
        <v>0</v>
      </c>
      <c r="J261" s="11">
        <f t="shared" si="37"/>
        <v>0</v>
      </c>
      <c r="K261" s="11">
        <f t="shared" si="37"/>
        <v>0</v>
      </c>
      <c r="L261" s="11">
        <f t="shared" si="37"/>
        <v>0</v>
      </c>
    </row>
    <row r="262" spans="1:12" x14ac:dyDescent="0.25">
      <c r="A262" s="25" t="s">
        <v>6</v>
      </c>
    </row>
    <row r="263" spans="1:12" x14ac:dyDescent="0.25">
      <c r="E263" s="9"/>
      <c r="F263" s="9"/>
      <c r="G263" s="9"/>
      <c r="H263" s="9"/>
      <c r="I263" s="9"/>
      <c r="J263" s="9"/>
      <c r="K263" s="9"/>
      <c r="L263" s="9"/>
    </row>
    <row r="264" spans="1:12" x14ac:dyDescent="0.25">
      <c r="E264" s="9"/>
      <c r="F264" s="9"/>
      <c r="G264" s="9"/>
      <c r="H264" s="9"/>
      <c r="I264" s="9"/>
      <c r="J264" s="9"/>
      <c r="K264" s="9"/>
      <c r="L264" s="9"/>
    </row>
    <row r="265" spans="1:12" x14ac:dyDescent="0.25">
      <c r="E265" s="9"/>
      <c r="F265" s="9"/>
      <c r="G265" s="9"/>
      <c r="H265" s="9"/>
      <c r="I265" s="9"/>
      <c r="J265" s="9"/>
      <c r="K265" s="9"/>
      <c r="L265" s="9"/>
    </row>
    <row r="266" spans="1:12" x14ac:dyDescent="0.25"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E268" s="9"/>
      <c r="F268" s="9"/>
      <c r="G268" s="9"/>
      <c r="H268" s="9"/>
      <c r="I268" s="9"/>
      <c r="J268" s="9"/>
      <c r="K268" s="9"/>
      <c r="L268" s="9"/>
    </row>
    <row r="269" spans="1:12" x14ac:dyDescent="0.25">
      <c r="E269" s="9"/>
      <c r="F269" s="9"/>
      <c r="G269" s="9"/>
      <c r="H269" s="9"/>
      <c r="I269" s="9"/>
      <c r="J269" s="9"/>
      <c r="K269" s="9"/>
      <c r="L269" s="9"/>
    </row>
    <row r="270" spans="1:12" x14ac:dyDescent="0.25">
      <c r="E270" s="9"/>
      <c r="F270" s="9"/>
      <c r="G270" s="9"/>
      <c r="H270" s="9"/>
      <c r="I270" s="9"/>
      <c r="J270" s="9"/>
      <c r="K270" s="9"/>
      <c r="L270" s="9"/>
    </row>
    <row r="271" spans="1:12" x14ac:dyDescent="0.25">
      <c r="E271" s="9"/>
      <c r="F271" s="9"/>
      <c r="G271" s="9"/>
      <c r="H271" s="9"/>
      <c r="I271" s="9"/>
      <c r="J271" s="9"/>
      <c r="K271" s="9"/>
      <c r="L271" s="9"/>
    </row>
    <row r="272" spans="1:12" x14ac:dyDescent="0.25">
      <c r="E272" s="9"/>
      <c r="F272" s="9"/>
      <c r="G272" s="9"/>
      <c r="H272" s="9"/>
      <c r="I272" s="9"/>
      <c r="J272" s="9"/>
      <c r="K272" s="9"/>
      <c r="L272" s="9"/>
    </row>
    <row r="273" spans="2:12" x14ac:dyDescent="0.25">
      <c r="E273" s="9"/>
      <c r="F273" s="9"/>
      <c r="G273" s="9"/>
      <c r="H273" s="9"/>
      <c r="I273" s="9"/>
      <c r="J273" s="9"/>
      <c r="K273" s="9"/>
      <c r="L273" s="9"/>
    </row>
    <row r="274" spans="2:12" x14ac:dyDescent="0.25">
      <c r="E274" s="9"/>
      <c r="F274" s="9"/>
      <c r="G274" s="9"/>
      <c r="H274" s="9"/>
      <c r="I274" s="9"/>
      <c r="J274" s="9"/>
      <c r="K274" s="9"/>
      <c r="L274" s="9"/>
    </row>
    <row r="275" spans="2:12" x14ac:dyDescent="0.25">
      <c r="E275" s="9"/>
      <c r="F275" s="9"/>
      <c r="G275" s="9"/>
      <c r="H275" s="9"/>
      <c r="I275" s="9"/>
      <c r="J275" s="9"/>
      <c r="K275" s="9"/>
      <c r="L275" s="9"/>
    </row>
    <row r="276" spans="2:12" x14ac:dyDescent="0.25">
      <c r="B276" s="4" t="s">
        <v>8</v>
      </c>
      <c r="E276" s="9"/>
      <c r="F276" s="9"/>
      <c r="G276" s="9"/>
      <c r="H276" s="9"/>
      <c r="I276" s="9"/>
      <c r="J276" s="9"/>
      <c r="K276" s="9"/>
      <c r="L276" s="9"/>
    </row>
    <row r="277" spans="2:12" x14ac:dyDescent="0.25">
      <c r="D277" s="10" t="s">
        <v>7</v>
      </c>
      <c r="E277" s="11">
        <f t="shared" ref="E277:L277" si="38">SUM(E263:E276)</f>
        <v>0</v>
      </c>
      <c r="F277" s="11">
        <f t="shared" si="38"/>
        <v>0</v>
      </c>
      <c r="G277" s="11">
        <f t="shared" si="38"/>
        <v>0</v>
      </c>
      <c r="H277" s="11">
        <f t="shared" si="38"/>
        <v>0</v>
      </c>
      <c r="I277" s="11">
        <f t="shared" si="38"/>
        <v>0</v>
      </c>
      <c r="J277" s="11">
        <f t="shared" si="38"/>
        <v>0</v>
      </c>
      <c r="K277" s="11">
        <f t="shared" si="38"/>
        <v>0</v>
      </c>
      <c r="L277" s="11">
        <f t="shared" si="38"/>
        <v>0</v>
      </c>
    </row>
    <row r="278" spans="2:12" x14ac:dyDescent="0.25">
      <c r="D278" s="8" t="s">
        <v>9</v>
      </c>
      <c r="E278" s="4">
        <f t="shared" ref="E278:L278" si="39">+E261-E277</f>
        <v>0</v>
      </c>
      <c r="F278" s="4">
        <f t="shared" si="39"/>
        <v>0</v>
      </c>
      <c r="G278" s="4">
        <f t="shared" si="39"/>
        <v>0</v>
      </c>
      <c r="H278" s="4">
        <f t="shared" si="39"/>
        <v>0</v>
      </c>
      <c r="I278" s="4">
        <f t="shared" si="39"/>
        <v>0</v>
      </c>
      <c r="J278" s="4">
        <f t="shared" si="39"/>
        <v>0</v>
      </c>
      <c r="K278" s="4">
        <f t="shared" si="39"/>
        <v>0</v>
      </c>
      <c r="L278" s="4">
        <f t="shared" si="39"/>
        <v>0</v>
      </c>
    </row>
    <row r="279" spans="2:12" ht="13.8" thickBot="1" x14ac:dyDescent="0.3">
      <c r="D279" s="8" t="s">
        <v>10</v>
      </c>
      <c r="E279" s="12">
        <f t="shared" ref="E279:L279" si="40">+E249+E278</f>
        <v>0</v>
      </c>
      <c r="F279" s="12">
        <f t="shared" si="40"/>
        <v>0</v>
      </c>
      <c r="G279" s="12">
        <f t="shared" si="40"/>
        <v>0</v>
      </c>
      <c r="H279" s="12">
        <f t="shared" si="40"/>
        <v>0</v>
      </c>
      <c r="I279" s="12">
        <f t="shared" si="40"/>
        <v>0</v>
      </c>
      <c r="J279" s="12">
        <f t="shared" si="40"/>
        <v>0</v>
      </c>
      <c r="K279" s="12">
        <f t="shared" si="40"/>
        <v>0</v>
      </c>
      <c r="L279" s="12">
        <f t="shared" si="40"/>
        <v>0</v>
      </c>
    </row>
    <row r="281" spans="2:12" x14ac:dyDescent="0.25">
      <c r="D281" s="13" t="s">
        <v>14</v>
      </c>
      <c r="E281" s="4">
        <f t="shared" ref="E281:L281" si="41">E21-E38+E55-E72+E90-E106+E124-E140+E158-E174+E192-E208+E226-E242+E260-E276</f>
        <v>0</v>
      </c>
      <c r="F281" s="4">
        <f t="shared" si="41"/>
        <v>0</v>
      </c>
      <c r="G281" s="4">
        <f t="shared" si="41"/>
        <v>0</v>
      </c>
      <c r="H281" s="4">
        <f t="shared" si="41"/>
        <v>0</v>
      </c>
      <c r="I281" s="4">
        <f t="shared" si="41"/>
        <v>0</v>
      </c>
      <c r="J281" s="4">
        <f t="shared" si="41"/>
        <v>0</v>
      </c>
      <c r="K281" s="4">
        <f t="shared" si="41"/>
        <v>0</v>
      </c>
      <c r="L281" s="4">
        <f t="shared" si="41"/>
        <v>0</v>
      </c>
    </row>
    <row r="282" spans="2:12" x14ac:dyDescent="0.25">
      <c r="D282" s="14"/>
      <c r="E282" s="5" t="str">
        <f t="shared" ref="E282:L282" si="42">IF(E281=0,"i.O.","Fehler")</f>
        <v>i.O.</v>
      </c>
      <c r="F282" s="5" t="str">
        <f t="shared" si="42"/>
        <v>i.O.</v>
      </c>
      <c r="G282" s="5" t="str">
        <f t="shared" si="42"/>
        <v>i.O.</v>
      </c>
      <c r="H282" s="5" t="str">
        <f t="shared" si="42"/>
        <v>i.O.</v>
      </c>
      <c r="I282" s="5" t="str">
        <f t="shared" si="42"/>
        <v>i.O.</v>
      </c>
      <c r="J282" s="5" t="str">
        <f t="shared" si="42"/>
        <v>i.O.</v>
      </c>
      <c r="K282" s="5" t="str">
        <f t="shared" si="42"/>
        <v>i.O.</v>
      </c>
      <c r="L282" s="5" t="str">
        <f t="shared" si="42"/>
        <v>i.O.</v>
      </c>
    </row>
  </sheetData>
  <mergeCells count="4">
    <mergeCell ref="A43:D43"/>
    <mergeCell ref="A179:D179"/>
    <mergeCell ref="A213:D213"/>
    <mergeCell ref="A247:D247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fitToHeight="0" orientation="landscape" r:id="rId1"/>
  <headerFooter alignWithMargins="0">
    <oddFooter>&amp;L&amp;F &amp;A&amp;CSeite &amp;P von &amp;N Seiten&amp;R&amp;D &amp;T</oddFooter>
  </headerFooter>
  <rowBreaks count="4" manualBreakCount="4">
    <brk id="41" min="4" max="11" man="1"/>
    <brk id="75" min="4" max="11" man="1"/>
    <brk id="177" min="4" max="11" man="1"/>
    <brk id="211" min="4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AC33-43CA-4D1D-B952-A487356704EC}">
  <sheetPr codeName="Tabelle5">
    <pageSetUpPr fitToPage="1"/>
  </sheetPr>
  <dimension ref="A1:L282"/>
  <sheetViews>
    <sheetView zoomScale="80" zoomScaleNormal="80" workbookViewId="0">
      <pane xSplit="4" ySplit="7" topLeftCell="E8" activePane="bottomRight" state="frozen"/>
      <selection activeCell="E5" sqref="E5:AD5"/>
      <selection pane="topRight" activeCell="E5" sqref="E5:AD5"/>
      <selection pane="bottomLeft" activeCell="E5" sqref="E5:AD5"/>
      <selection pane="bottomRight" activeCell="J31" sqref="J31"/>
    </sheetView>
  </sheetViews>
  <sheetFormatPr baseColWidth="10" defaultColWidth="11.44140625" defaultRowHeight="13.2" x14ac:dyDescent="0.25"/>
  <cols>
    <col min="1" max="1" width="2.88671875" style="16" customWidth="1"/>
    <col min="2" max="3" width="2.88671875" style="4" customWidth="1"/>
    <col min="4" max="4" width="20.88671875" style="4" customWidth="1"/>
    <col min="5" max="5" width="11.44140625" style="4"/>
    <col min="6" max="6" width="11.88671875" style="4" customWidth="1"/>
    <col min="7" max="16384" width="11.44140625" style="4"/>
  </cols>
  <sheetData>
    <row r="1" spans="1:12" ht="17.399999999999999" x14ac:dyDescent="0.3">
      <c r="A1" s="20" t="s">
        <v>138</v>
      </c>
      <c r="B1" s="3"/>
      <c r="C1" s="3"/>
      <c r="D1" s="3"/>
      <c r="E1" s="3"/>
      <c r="F1" s="3"/>
      <c r="G1" s="3"/>
      <c r="I1" s="4" t="s">
        <v>29</v>
      </c>
    </row>
    <row r="2" spans="1:12" x14ac:dyDescent="0.25">
      <c r="J2" s="4" t="s">
        <v>30</v>
      </c>
      <c r="K2" s="4" t="s">
        <v>31</v>
      </c>
    </row>
    <row r="3" spans="1:12" ht="15.6" x14ac:dyDescent="0.3">
      <c r="A3" s="21" t="s">
        <v>0</v>
      </c>
    </row>
    <row r="4" spans="1:12" x14ac:dyDescent="0.25">
      <c r="A4" s="22" t="s">
        <v>11</v>
      </c>
    </row>
    <row r="5" spans="1:12" x14ac:dyDescent="0.25">
      <c r="E5" s="5" t="str">
        <f>+Holding!E5</f>
        <v>Montag</v>
      </c>
      <c r="F5" s="5" t="str">
        <f>+Holding!F5</f>
        <v>Dienstag</v>
      </c>
      <c r="G5" s="5" t="str">
        <f>+Holding!G5</f>
        <v>Mittwoch</v>
      </c>
      <c r="H5" s="5" t="str">
        <f>+Holding!H5</f>
        <v>Donnerstag</v>
      </c>
      <c r="I5" s="5" t="str">
        <f>+Holding!I5</f>
        <v>Freitag</v>
      </c>
      <c r="J5" s="5" t="str">
        <f>+Holding!J5</f>
        <v>Samstag</v>
      </c>
      <c r="K5" s="5" t="str">
        <f>+Holding!K5</f>
        <v>Sonntag</v>
      </c>
      <c r="L5" s="5" t="str">
        <f>+Holding!L5</f>
        <v>Montag</v>
      </c>
    </row>
    <row r="6" spans="1:12" s="1" customFormat="1" x14ac:dyDescent="0.25">
      <c r="A6" s="23"/>
      <c r="E6" s="1">
        <v>45870</v>
      </c>
      <c r="F6" s="1">
        <f t="shared" ref="F6:L6" si="0">+E6+1</f>
        <v>45871</v>
      </c>
      <c r="G6" s="1">
        <f t="shared" si="0"/>
        <v>45872</v>
      </c>
      <c r="H6" s="1">
        <f t="shared" si="0"/>
        <v>45873</v>
      </c>
      <c r="I6" s="1">
        <f t="shared" si="0"/>
        <v>45874</v>
      </c>
      <c r="J6" s="1">
        <f t="shared" si="0"/>
        <v>45875</v>
      </c>
      <c r="K6" s="1">
        <f t="shared" si="0"/>
        <v>45876</v>
      </c>
      <c r="L6" s="1">
        <f t="shared" si="0"/>
        <v>45877</v>
      </c>
    </row>
    <row r="7" spans="1:12" s="5" customFormat="1" x14ac:dyDescent="0.25">
      <c r="A7" s="24"/>
      <c r="B7" s="6"/>
      <c r="C7" s="6"/>
      <c r="D7" s="6" t="s">
        <v>2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</row>
    <row r="8" spans="1:12" x14ac:dyDescent="0.25">
      <c r="A8" s="17" t="str">
        <f>+Grunddaten!B44</f>
        <v>Bank 1</v>
      </c>
      <c r="B8" s="18"/>
      <c r="C8" s="18"/>
      <c r="D8" s="18"/>
      <c r="E8" s="8" t="s">
        <v>1</v>
      </c>
      <c r="F8" s="15">
        <f>+Grunddaten!D44</f>
        <v>0</v>
      </c>
      <c r="G8" s="7"/>
    </row>
    <row r="9" spans="1:12" s="5" customFormat="1" x14ac:dyDescent="0.25">
      <c r="A9" s="23"/>
    </row>
    <row r="10" spans="1:12" x14ac:dyDescent="0.25">
      <c r="D10" s="8" t="s">
        <v>12</v>
      </c>
      <c r="E10" s="4">
        <v>-499.2</v>
      </c>
      <c r="F10" s="4">
        <f t="shared" ref="F10:L10" si="1">+E41</f>
        <v>-519.20000000000005</v>
      </c>
      <c r="G10" s="4">
        <f t="shared" si="1"/>
        <v>-535.90000000000009</v>
      </c>
      <c r="H10" s="4">
        <f t="shared" si="1"/>
        <v>-531.40000000000009</v>
      </c>
      <c r="I10" s="4">
        <f t="shared" si="1"/>
        <v>-536.80000000000007</v>
      </c>
      <c r="J10" s="4">
        <f t="shared" si="1"/>
        <v>-540.80000000000007</v>
      </c>
      <c r="K10" s="4">
        <f t="shared" si="1"/>
        <v>-540.80000000000007</v>
      </c>
      <c r="L10" s="4">
        <f t="shared" si="1"/>
        <v>-540.80000000000007</v>
      </c>
    </row>
    <row r="11" spans="1:12" x14ac:dyDescent="0.25">
      <c r="A11" s="25" t="s">
        <v>4</v>
      </c>
      <c r="E11" s="9"/>
      <c r="F11" s="9"/>
      <c r="G11" s="9"/>
      <c r="H11" s="9"/>
      <c r="I11" s="9"/>
      <c r="J11" s="9"/>
      <c r="K11" s="9"/>
      <c r="L11" s="9"/>
    </row>
    <row r="12" spans="1:12" x14ac:dyDescent="0.25">
      <c r="E12" s="9"/>
      <c r="F12" s="9"/>
      <c r="G12" s="9"/>
      <c r="H12" s="9"/>
      <c r="I12" s="9"/>
      <c r="J12" s="9"/>
      <c r="K12" s="9"/>
      <c r="L12" s="9"/>
    </row>
    <row r="13" spans="1:12" x14ac:dyDescent="0.25">
      <c r="B13" s="4" t="s">
        <v>43</v>
      </c>
      <c r="E13" s="9">
        <v>4.5</v>
      </c>
      <c r="F13" s="9">
        <v>4.5</v>
      </c>
      <c r="G13" s="9">
        <v>4.5</v>
      </c>
      <c r="H13" s="9">
        <v>4.5</v>
      </c>
      <c r="I13" s="9">
        <v>4.5</v>
      </c>
      <c r="J13" s="9"/>
      <c r="K13" s="9"/>
      <c r="L13" s="9">
        <v>4.5</v>
      </c>
    </row>
    <row r="14" spans="1:12" x14ac:dyDescent="0.25">
      <c r="B14" s="4" t="s">
        <v>90</v>
      </c>
      <c r="E14" s="9"/>
      <c r="F14" s="9">
        <v>3</v>
      </c>
      <c r="G14" s="9"/>
      <c r="H14" s="9"/>
      <c r="I14" s="9"/>
      <c r="J14" s="9"/>
      <c r="K14" s="9"/>
      <c r="L14" s="9">
        <v>10.5</v>
      </c>
    </row>
    <row r="15" spans="1:12" x14ac:dyDescent="0.25">
      <c r="B15" s="4" t="s">
        <v>91</v>
      </c>
      <c r="E15" s="9"/>
      <c r="F15" s="9"/>
      <c r="G15" s="9"/>
      <c r="H15" s="9"/>
      <c r="I15" s="9"/>
      <c r="J15" s="9"/>
      <c r="K15" s="9"/>
      <c r="L15" s="9"/>
    </row>
    <row r="16" spans="1:12" x14ac:dyDescent="0.25">
      <c r="B16" s="4" t="s">
        <v>96</v>
      </c>
      <c r="E16" s="9"/>
      <c r="F16" s="9"/>
      <c r="G16" s="9"/>
      <c r="H16" s="9"/>
      <c r="I16" s="9"/>
      <c r="J16" s="9"/>
      <c r="K16" s="9"/>
      <c r="L16" s="9"/>
    </row>
    <row r="17" spans="1:12" x14ac:dyDescent="0.25">
      <c r="E17" s="9"/>
      <c r="F17" s="9"/>
      <c r="G17" s="9"/>
      <c r="H17" s="9"/>
      <c r="I17" s="9"/>
      <c r="J17" s="9"/>
      <c r="K17" s="9"/>
      <c r="L17" s="9"/>
    </row>
    <row r="18" spans="1:12" x14ac:dyDescent="0.25">
      <c r="E18" s="9"/>
      <c r="F18" s="9"/>
      <c r="G18" s="9"/>
      <c r="H18" s="9"/>
      <c r="I18" s="9"/>
      <c r="J18" s="9"/>
      <c r="K18" s="9"/>
      <c r="L18" s="9"/>
    </row>
    <row r="19" spans="1:12" x14ac:dyDescent="0.25">
      <c r="E19" s="9"/>
      <c r="F19" s="9"/>
      <c r="G19" s="9"/>
      <c r="H19" s="9"/>
      <c r="I19" s="9"/>
      <c r="J19" s="9"/>
      <c r="K19" s="9"/>
      <c r="L19" s="9"/>
    </row>
    <row r="20" spans="1:12" x14ac:dyDescent="0.25">
      <c r="E20" s="9"/>
      <c r="F20" s="9"/>
      <c r="G20" s="9"/>
      <c r="H20" s="9"/>
      <c r="I20" s="9"/>
      <c r="J20" s="9"/>
      <c r="K20" s="9"/>
      <c r="L20" s="9"/>
    </row>
    <row r="21" spans="1:12" x14ac:dyDescent="0.25">
      <c r="B21" s="4" t="s">
        <v>8</v>
      </c>
      <c r="E21" s="9"/>
      <c r="F21" s="9"/>
      <c r="G21" s="9"/>
      <c r="H21" s="9"/>
      <c r="I21" s="9"/>
      <c r="J21" s="9"/>
      <c r="K21" s="9"/>
      <c r="L21" s="9"/>
    </row>
    <row r="22" spans="1:12" x14ac:dyDescent="0.25">
      <c r="D22" s="10" t="s">
        <v>5</v>
      </c>
      <c r="E22" s="11">
        <f t="shared" ref="E22:L22" si="2">SUM(E11:E21)</f>
        <v>4.5</v>
      </c>
      <c r="F22" s="11">
        <f t="shared" si="2"/>
        <v>7.5</v>
      </c>
      <c r="G22" s="11">
        <f t="shared" si="2"/>
        <v>4.5</v>
      </c>
      <c r="H22" s="11">
        <f t="shared" si="2"/>
        <v>4.5</v>
      </c>
      <c r="I22" s="11">
        <f t="shared" si="2"/>
        <v>4.5</v>
      </c>
      <c r="J22" s="11">
        <f t="shared" si="2"/>
        <v>0</v>
      </c>
      <c r="K22" s="11">
        <f t="shared" si="2"/>
        <v>0</v>
      </c>
      <c r="L22" s="11">
        <f t="shared" si="2"/>
        <v>15</v>
      </c>
    </row>
    <row r="23" spans="1:12" x14ac:dyDescent="0.25">
      <c r="A23" s="25" t="s">
        <v>6</v>
      </c>
    </row>
    <row r="24" spans="1:12" x14ac:dyDescent="0.25">
      <c r="B24" s="4" t="s">
        <v>110</v>
      </c>
      <c r="E24" s="9"/>
      <c r="F24" s="9"/>
      <c r="G24" s="9"/>
      <c r="H24" s="9"/>
      <c r="I24" s="9"/>
      <c r="J24" s="9"/>
      <c r="K24" s="9"/>
      <c r="L24" s="9"/>
    </row>
    <row r="25" spans="1:12" x14ac:dyDescent="0.25">
      <c r="B25" s="4" t="s">
        <v>46</v>
      </c>
      <c r="E25" s="9">
        <v>3.1</v>
      </c>
      <c r="F25" s="9"/>
      <c r="G25" s="9"/>
      <c r="H25" s="9"/>
      <c r="I25" s="9"/>
      <c r="J25" s="9"/>
      <c r="K25" s="9"/>
      <c r="L25" s="9"/>
    </row>
    <row r="26" spans="1:12" x14ac:dyDescent="0.25">
      <c r="B26" s="4" t="s">
        <v>47</v>
      </c>
      <c r="E26" s="9">
        <v>2.4</v>
      </c>
      <c r="F26" s="9"/>
      <c r="G26" s="9"/>
      <c r="H26" s="9"/>
      <c r="I26" s="9"/>
      <c r="J26" s="9"/>
      <c r="K26" s="9"/>
      <c r="L26" s="9"/>
    </row>
    <row r="27" spans="1:12" x14ac:dyDescent="0.25">
      <c r="B27" s="4" t="s">
        <v>71</v>
      </c>
      <c r="E27" s="9"/>
      <c r="F27" s="9"/>
      <c r="G27" s="9"/>
      <c r="H27" s="9">
        <v>5</v>
      </c>
      <c r="I27" s="9"/>
      <c r="J27" s="9"/>
      <c r="K27" s="9"/>
      <c r="L27" s="9"/>
    </row>
    <row r="28" spans="1:12" x14ac:dyDescent="0.25">
      <c r="B28" s="4" t="s">
        <v>92</v>
      </c>
      <c r="E28" s="9"/>
      <c r="F28" s="9">
        <v>4.7</v>
      </c>
      <c r="G28" s="9"/>
      <c r="H28" s="9"/>
      <c r="I28" s="9">
        <v>5.3</v>
      </c>
      <c r="J28" s="9"/>
      <c r="K28" s="9"/>
      <c r="L28" s="9"/>
    </row>
    <row r="29" spans="1:12" x14ac:dyDescent="0.25">
      <c r="B29" s="4" t="s">
        <v>93</v>
      </c>
      <c r="E29" s="9">
        <v>6.7</v>
      </c>
      <c r="F29" s="9">
        <v>17.8</v>
      </c>
      <c r="G29" s="9"/>
      <c r="H29" s="9">
        <v>4.9000000000000004</v>
      </c>
      <c r="I29" s="9">
        <v>3.2</v>
      </c>
      <c r="J29" s="9"/>
      <c r="K29" s="9"/>
      <c r="L29" s="9">
        <v>9.4</v>
      </c>
    </row>
    <row r="30" spans="1:12" x14ac:dyDescent="0.25">
      <c r="B30" s="4" t="s">
        <v>110</v>
      </c>
      <c r="E30" s="9"/>
      <c r="F30" s="9"/>
      <c r="G30" s="9"/>
      <c r="H30" s="9"/>
      <c r="I30" s="9"/>
      <c r="J30" s="9"/>
      <c r="K30" s="9"/>
      <c r="L30" s="9"/>
    </row>
    <row r="31" spans="1:12" x14ac:dyDescent="0.25">
      <c r="B31" s="4" t="s">
        <v>49</v>
      </c>
      <c r="E31" s="9">
        <v>12.3</v>
      </c>
      <c r="F31" s="9">
        <v>1.7</v>
      </c>
      <c r="G31" s="9"/>
      <c r="H31" s="9"/>
      <c r="I31" s="9"/>
      <c r="J31" s="9"/>
      <c r="K31" s="9"/>
      <c r="L31" s="9"/>
    </row>
    <row r="32" spans="1:12" x14ac:dyDescent="0.25">
      <c r="B32" s="4" t="s">
        <v>114</v>
      </c>
      <c r="E32" s="9"/>
      <c r="F32" s="9"/>
      <c r="G32" s="9"/>
      <c r="H32" s="9"/>
      <c r="I32" s="9"/>
      <c r="J32" s="9"/>
      <c r="K32" s="9"/>
      <c r="L32" s="9"/>
    </row>
    <row r="33" spans="1:12" x14ac:dyDescent="0.25">
      <c r="B33" s="4" t="s">
        <v>121</v>
      </c>
      <c r="E33" s="9"/>
      <c r="F33" s="9"/>
      <c r="G33" s="9"/>
      <c r="H33" s="9"/>
      <c r="I33" s="9"/>
      <c r="J33" s="9"/>
      <c r="K33" s="9"/>
      <c r="L33" s="9"/>
    </row>
    <row r="34" spans="1:12" x14ac:dyDescent="0.25">
      <c r="B34" s="4" t="s">
        <v>133</v>
      </c>
      <c r="E34" s="9"/>
      <c r="F34" s="9"/>
      <c r="G34" s="9"/>
      <c r="H34" s="9"/>
      <c r="I34" s="9"/>
      <c r="J34" s="9"/>
      <c r="K34" s="9"/>
      <c r="L34" s="9"/>
    </row>
    <row r="35" spans="1:12" x14ac:dyDescent="0.25">
      <c r="E35" s="9"/>
      <c r="F35" s="9"/>
      <c r="G35" s="9"/>
      <c r="H35" s="9"/>
      <c r="I35" s="9"/>
      <c r="J35" s="9"/>
      <c r="K35" s="9"/>
      <c r="L35" s="9"/>
    </row>
    <row r="36" spans="1:12" x14ac:dyDescent="0.25">
      <c r="E36" s="9"/>
      <c r="F36" s="9"/>
      <c r="G36" s="9"/>
      <c r="H36" s="9"/>
      <c r="I36" s="9"/>
      <c r="J36" s="9"/>
      <c r="K36" s="9"/>
      <c r="L36" s="9"/>
    </row>
    <row r="37" spans="1:12" x14ac:dyDescent="0.25">
      <c r="E37" s="9"/>
      <c r="F37" s="9"/>
      <c r="G37" s="9"/>
      <c r="H37" s="9"/>
      <c r="I37" s="9"/>
      <c r="J37" s="9"/>
      <c r="K37" s="9"/>
      <c r="L37" s="9"/>
    </row>
    <row r="38" spans="1:12" x14ac:dyDescent="0.25">
      <c r="B38" s="4" t="s">
        <v>8</v>
      </c>
      <c r="E38" s="9"/>
      <c r="F38" s="9"/>
      <c r="G38" s="9"/>
      <c r="H38" s="9"/>
      <c r="I38" s="9"/>
      <c r="J38" s="9"/>
      <c r="K38" s="9"/>
      <c r="L38" s="9"/>
    </row>
    <row r="39" spans="1:12" x14ac:dyDescent="0.25">
      <c r="D39" s="10" t="s">
        <v>7</v>
      </c>
      <c r="E39" s="11">
        <f t="shared" ref="E39:L39" si="3">SUM(E24:E38)</f>
        <v>24.5</v>
      </c>
      <c r="F39" s="11">
        <f t="shared" si="3"/>
        <v>24.2</v>
      </c>
      <c r="G39" s="11">
        <f t="shared" si="3"/>
        <v>0</v>
      </c>
      <c r="H39" s="11">
        <f t="shared" si="3"/>
        <v>9.9</v>
      </c>
      <c r="I39" s="11">
        <f t="shared" si="3"/>
        <v>8.5</v>
      </c>
      <c r="J39" s="11">
        <f t="shared" si="3"/>
        <v>0</v>
      </c>
      <c r="K39" s="11">
        <f t="shared" si="3"/>
        <v>0</v>
      </c>
      <c r="L39" s="11">
        <f t="shared" si="3"/>
        <v>9.4</v>
      </c>
    </row>
    <row r="40" spans="1:12" x14ac:dyDescent="0.25">
      <c r="D40" s="8" t="s">
        <v>9</v>
      </c>
      <c r="E40" s="4">
        <f>+E22-E39</f>
        <v>-20</v>
      </c>
      <c r="F40" s="4">
        <f t="shared" ref="F40:L40" si="4">+F22-F39</f>
        <v>-16.7</v>
      </c>
      <c r="G40" s="4">
        <f t="shared" si="4"/>
        <v>4.5</v>
      </c>
      <c r="H40" s="4">
        <f t="shared" si="4"/>
        <v>-5.4</v>
      </c>
      <c r="I40" s="4">
        <f t="shared" si="4"/>
        <v>-4</v>
      </c>
      <c r="J40" s="4">
        <f t="shared" si="4"/>
        <v>0</v>
      </c>
      <c r="K40" s="4">
        <f t="shared" si="4"/>
        <v>0</v>
      </c>
      <c r="L40" s="4">
        <f t="shared" si="4"/>
        <v>5.6</v>
      </c>
    </row>
    <row r="41" spans="1:12" ht="13.8" thickBot="1" x14ac:dyDescent="0.3">
      <c r="D41" s="8" t="s">
        <v>10</v>
      </c>
      <c r="E41" s="12">
        <f>+E10+E40</f>
        <v>-519.20000000000005</v>
      </c>
      <c r="F41" s="12">
        <f t="shared" ref="F41:L41" si="5">+F10+F40</f>
        <v>-535.90000000000009</v>
      </c>
      <c r="G41" s="12">
        <f t="shared" si="5"/>
        <v>-531.40000000000009</v>
      </c>
      <c r="H41" s="12">
        <f t="shared" si="5"/>
        <v>-536.80000000000007</v>
      </c>
      <c r="I41" s="12">
        <f t="shared" si="5"/>
        <v>-540.80000000000007</v>
      </c>
      <c r="J41" s="12">
        <f t="shared" si="5"/>
        <v>-540.80000000000007</v>
      </c>
      <c r="K41" s="12">
        <f t="shared" si="5"/>
        <v>-540.80000000000007</v>
      </c>
      <c r="L41" s="12">
        <f t="shared" si="5"/>
        <v>-535.20000000000005</v>
      </c>
    </row>
    <row r="42" spans="1:12" ht="13.8" thickTop="1" x14ac:dyDescent="0.25"/>
    <row r="43" spans="1:12" x14ac:dyDescent="0.25">
      <c r="A43" s="29" t="str">
        <f>+Grunddaten!B45</f>
        <v>Bank 2</v>
      </c>
      <c r="B43" s="30"/>
      <c r="C43" s="30"/>
      <c r="D43" s="30"/>
      <c r="E43" s="8" t="s">
        <v>1</v>
      </c>
      <c r="F43" s="15">
        <f>+Grunddaten!D45</f>
        <v>0</v>
      </c>
      <c r="H43" s="7"/>
    </row>
    <row r="44" spans="1:12" x14ac:dyDescent="0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D45" s="8" t="s">
        <v>12</v>
      </c>
      <c r="E45" s="9"/>
      <c r="F45" s="4">
        <f>E75</f>
        <v>0</v>
      </c>
      <c r="G45" s="4">
        <f t="shared" ref="G45:L45" si="6">F75</f>
        <v>0</v>
      </c>
      <c r="H45" s="4">
        <f t="shared" si="6"/>
        <v>0</v>
      </c>
      <c r="I45" s="4">
        <f t="shared" si="6"/>
        <v>0</v>
      </c>
      <c r="J45" s="4">
        <f t="shared" si="6"/>
        <v>0</v>
      </c>
      <c r="K45" s="4">
        <f t="shared" si="6"/>
        <v>0</v>
      </c>
      <c r="L45" s="4">
        <f t="shared" si="6"/>
        <v>0</v>
      </c>
    </row>
    <row r="46" spans="1:12" x14ac:dyDescent="0.25">
      <c r="A46" s="25" t="s">
        <v>4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E47" s="9"/>
      <c r="F47" s="9"/>
      <c r="G47" s="9"/>
      <c r="H47" s="9"/>
      <c r="I47" s="9"/>
      <c r="J47" s="9"/>
      <c r="K47" s="9"/>
      <c r="L47" s="9"/>
    </row>
    <row r="48" spans="1:12" x14ac:dyDescent="0.25">
      <c r="E48" s="9"/>
      <c r="F48" s="9"/>
      <c r="G48" s="9"/>
      <c r="H48" s="9"/>
      <c r="I48" s="9"/>
      <c r="J48" s="9"/>
      <c r="K48" s="9"/>
      <c r="L48" s="9"/>
    </row>
    <row r="49" spans="1:12" x14ac:dyDescent="0.25">
      <c r="E49" s="9"/>
      <c r="F49" s="9"/>
      <c r="G49" s="9"/>
      <c r="H49" s="9"/>
      <c r="I49" s="9"/>
      <c r="J49" s="9"/>
      <c r="K49" s="9"/>
      <c r="L49" s="9"/>
    </row>
    <row r="50" spans="1:12" x14ac:dyDescent="0.25">
      <c r="E50" s="9"/>
      <c r="F50" s="9"/>
      <c r="G50" s="9"/>
      <c r="H50" s="9"/>
      <c r="I50" s="9"/>
      <c r="J50" s="9"/>
      <c r="K50" s="9"/>
      <c r="L50" s="9"/>
    </row>
    <row r="51" spans="1:12" x14ac:dyDescent="0.25">
      <c r="E51" s="9"/>
      <c r="F51" s="9"/>
      <c r="G51" s="9"/>
      <c r="H51" s="9"/>
      <c r="I51" s="9"/>
      <c r="J51" s="9"/>
      <c r="K51" s="9"/>
      <c r="L51" s="9"/>
    </row>
    <row r="52" spans="1:12" x14ac:dyDescent="0.25">
      <c r="E52" s="9"/>
      <c r="F52" s="9"/>
      <c r="G52" s="9"/>
      <c r="H52" s="9"/>
      <c r="I52" s="9"/>
      <c r="J52" s="9"/>
      <c r="K52" s="9"/>
      <c r="L52" s="9"/>
    </row>
    <row r="53" spans="1:12" x14ac:dyDescent="0.25">
      <c r="E53" s="9"/>
      <c r="F53" s="9"/>
      <c r="G53" s="9"/>
      <c r="H53" s="9"/>
      <c r="I53" s="9"/>
      <c r="J53" s="9"/>
      <c r="K53" s="9"/>
      <c r="L53" s="9"/>
    </row>
    <row r="54" spans="1:12" x14ac:dyDescent="0.25">
      <c r="E54" s="9"/>
      <c r="F54" s="9"/>
      <c r="G54" s="9"/>
      <c r="H54" s="9"/>
      <c r="I54" s="9"/>
      <c r="J54" s="9"/>
      <c r="K54" s="9"/>
      <c r="L54" s="9"/>
    </row>
    <row r="55" spans="1:12" x14ac:dyDescent="0.25">
      <c r="B55" s="4" t="s">
        <v>8</v>
      </c>
      <c r="E55" s="9"/>
      <c r="F55" s="9"/>
      <c r="G55" s="9"/>
      <c r="H55" s="9"/>
      <c r="I55" s="9"/>
      <c r="J55" s="9"/>
      <c r="K55" s="9"/>
      <c r="L55" s="9"/>
    </row>
    <row r="56" spans="1:12" x14ac:dyDescent="0.25">
      <c r="D56" s="10" t="s">
        <v>5</v>
      </c>
      <c r="E56" s="11">
        <f t="shared" ref="E56:L56" si="7">SUM(E46:E55)</f>
        <v>0</v>
      </c>
      <c r="F56" s="11">
        <f t="shared" si="7"/>
        <v>0</v>
      </c>
      <c r="G56" s="11">
        <f t="shared" si="7"/>
        <v>0</v>
      </c>
      <c r="H56" s="11">
        <f t="shared" si="7"/>
        <v>0</v>
      </c>
      <c r="I56" s="11">
        <f t="shared" si="7"/>
        <v>0</v>
      </c>
      <c r="J56" s="11">
        <f t="shared" si="7"/>
        <v>0</v>
      </c>
      <c r="K56" s="11">
        <f t="shared" si="7"/>
        <v>0</v>
      </c>
      <c r="L56" s="11">
        <f t="shared" si="7"/>
        <v>0</v>
      </c>
    </row>
    <row r="57" spans="1:12" x14ac:dyDescent="0.25">
      <c r="A57" s="25" t="s">
        <v>6</v>
      </c>
    </row>
    <row r="58" spans="1:12" x14ac:dyDescent="0.25">
      <c r="E58" s="9"/>
      <c r="F58" s="9"/>
      <c r="G58" s="9"/>
      <c r="H58" s="9"/>
      <c r="I58" s="9"/>
      <c r="J58" s="9"/>
      <c r="K58" s="9"/>
      <c r="L58" s="9"/>
    </row>
    <row r="59" spans="1:12" x14ac:dyDescent="0.25">
      <c r="E59" s="9"/>
      <c r="F59" s="9"/>
      <c r="G59" s="9"/>
      <c r="H59" s="9"/>
      <c r="I59" s="9"/>
      <c r="J59" s="9"/>
      <c r="K59" s="9"/>
      <c r="L59" s="9"/>
    </row>
    <row r="60" spans="1:12" x14ac:dyDescent="0.25">
      <c r="E60" s="9"/>
      <c r="F60" s="9"/>
      <c r="G60" s="9"/>
      <c r="H60" s="9"/>
      <c r="I60" s="9"/>
      <c r="J60" s="9"/>
      <c r="K60" s="9"/>
      <c r="L60" s="9"/>
    </row>
    <row r="61" spans="1:12" x14ac:dyDescent="0.25">
      <c r="E61" s="9"/>
      <c r="F61" s="9"/>
      <c r="G61" s="9"/>
      <c r="H61" s="9"/>
      <c r="I61" s="9"/>
      <c r="J61" s="9"/>
      <c r="K61" s="9"/>
      <c r="L61" s="9"/>
    </row>
    <row r="62" spans="1:12" x14ac:dyDescent="0.25">
      <c r="E62" s="9"/>
      <c r="F62" s="9"/>
      <c r="G62" s="9"/>
      <c r="H62" s="9"/>
      <c r="I62" s="9"/>
      <c r="J62" s="9"/>
      <c r="K62" s="9"/>
      <c r="L62" s="9"/>
    </row>
    <row r="63" spans="1:12" x14ac:dyDescent="0.25">
      <c r="E63" s="9"/>
      <c r="F63" s="9"/>
      <c r="G63" s="9"/>
      <c r="H63" s="9"/>
      <c r="I63" s="9"/>
      <c r="J63" s="9"/>
      <c r="K63" s="9"/>
      <c r="L63" s="9"/>
    </row>
    <row r="64" spans="1:12" x14ac:dyDescent="0.25">
      <c r="E64" s="9"/>
      <c r="F64" s="9"/>
      <c r="G64" s="9"/>
      <c r="H64" s="9"/>
      <c r="I64" s="9"/>
      <c r="J64" s="9"/>
      <c r="K64" s="9"/>
      <c r="L64" s="9"/>
    </row>
    <row r="65" spans="1:12" x14ac:dyDescent="0.25">
      <c r="E65" s="9"/>
      <c r="F65" s="9"/>
      <c r="G65" s="9"/>
      <c r="H65" s="9"/>
      <c r="I65" s="9"/>
      <c r="J65" s="9"/>
      <c r="K65" s="9"/>
      <c r="L65" s="9"/>
    </row>
    <row r="66" spans="1:12" x14ac:dyDescent="0.25">
      <c r="E66" s="9"/>
      <c r="F66" s="9"/>
      <c r="G66" s="9"/>
      <c r="H66" s="9"/>
      <c r="I66" s="9"/>
      <c r="J66" s="9"/>
      <c r="K66" s="9"/>
      <c r="L66" s="9"/>
    </row>
    <row r="67" spans="1:12" x14ac:dyDescent="0.25">
      <c r="E67" s="9"/>
      <c r="F67" s="9"/>
      <c r="G67" s="9"/>
      <c r="H67" s="9"/>
      <c r="I67" s="9"/>
      <c r="J67" s="9"/>
      <c r="K67" s="9"/>
      <c r="L67" s="9"/>
    </row>
    <row r="68" spans="1:12" x14ac:dyDescent="0.25">
      <c r="E68" s="9"/>
      <c r="F68" s="9"/>
      <c r="G68" s="9"/>
      <c r="H68" s="9"/>
      <c r="I68" s="9"/>
      <c r="J68" s="9"/>
      <c r="K68" s="9"/>
      <c r="L68" s="9"/>
    </row>
    <row r="69" spans="1:12" x14ac:dyDescent="0.25">
      <c r="E69" s="9"/>
      <c r="F69" s="9"/>
      <c r="G69" s="9"/>
      <c r="H69" s="9"/>
      <c r="I69" s="9"/>
      <c r="J69" s="9"/>
      <c r="K69" s="9"/>
      <c r="L69" s="9"/>
    </row>
    <row r="70" spans="1:12" x14ac:dyDescent="0.25">
      <c r="E70" s="9"/>
      <c r="F70" s="9"/>
      <c r="G70" s="9"/>
      <c r="H70" s="9"/>
      <c r="I70" s="9"/>
      <c r="J70" s="9"/>
      <c r="K70" s="9"/>
      <c r="L70" s="9"/>
    </row>
    <row r="71" spans="1:12" x14ac:dyDescent="0.25">
      <c r="E71" s="9"/>
      <c r="F71" s="9"/>
      <c r="G71" s="9"/>
      <c r="H71" s="9"/>
      <c r="I71" s="9"/>
      <c r="J71" s="9"/>
      <c r="K71" s="9"/>
      <c r="L71" s="9"/>
    </row>
    <row r="72" spans="1:12" x14ac:dyDescent="0.25">
      <c r="B72" s="4" t="s">
        <v>8</v>
      </c>
      <c r="E72" s="9"/>
      <c r="F72" s="9"/>
      <c r="G72" s="9"/>
      <c r="H72" s="9"/>
      <c r="I72" s="9"/>
      <c r="J72" s="9"/>
      <c r="K72" s="9"/>
      <c r="L72" s="9"/>
    </row>
    <row r="73" spans="1:12" x14ac:dyDescent="0.25">
      <c r="D73" s="10" t="s">
        <v>7</v>
      </c>
      <c r="E73" s="11">
        <f t="shared" ref="E73:L73" si="8">SUM(E58:E72)</f>
        <v>0</v>
      </c>
      <c r="F73" s="11">
        <f t="shared" si="8"/>
        <v>0</v>
      </c>
      <c r="G73" s="11">
        <f t="shared" si="8"/>
        <v>0</v>
      </c>
      <c r="H73" s="11">
        <f t="shared" si="8"/>
        <v>0</v>
      </c>
      <c r="I73" s="11">
        <f t="shared" si="8"/>
        <v>0</v>
      </c>
      <c r="J73" s="11">
        <f t="shared" si="8"/>
        <v>0</v>
      </c>
      <c r="K73" s="11">
        <f t="shared" si="8"/>
        <v>0</v>
      </c>
      <c r="L73" s="11">
        <f t="shared" si="8"/>
        <v>0</v>
      </c>
    </row>
    <row r="74" spans="1:12" x14ac:dyDescent="0.25">
      <c r="D74" s="8" t="s">
        <v>9</v>
      </c>
      <c r="E74" s="4">
        <f t="shared" ref="E74:L74" si="9">+E56-E73</f>
        <v>0</v>
      </c>
      <c r="F74" s="4">
        <f t="shared" si="9"/>
        <v>0</v>
      </c>
      <c r="G74" s="4">
        <f t="shared" si="9"/>
        <v>0</v>
      </c>
      <c r="H74" s="4">
        <f t="shared" si="9"/>
        <v>0</v>
      </c>
      <c r="I74" s="4">
        <f t="shared" si="9"/>
        <v>0</v>
      </c>
      <c r="J74" s="4">
        <f t="shared" si="9"/>
        <v>0</v>
      </c>
      <c r="K74" s="4">
        <f t="shared" si="9"/>
        <v>0</v>
      </c>
      <c r="L74" s="4">
        <f t="shared" si="9"/>
        <v>0</v>
      </c>
    </row>
    <row r="75" spans="1:12" ht="13.8" thickBot="1" x14ac:dyDescent="0.3">
      <c r="D75" s="8" t="s">
        <v>10</v>
      </c>
      <c r="E75" s="12">
        <f t="shared" ref="E75:L75" si="10">+E45+E74</f>
        <v>0</v>
      </c>
      <c r="F75" s="12">
        <f t="shared" si="10"/>
        <v>0</v>
      </c>
      <c r="G75" s="12">
        <f t="shared" si="10"/>
        <v>0</v>
      </c>
      <c r="H75" s="12">
        <f t="shared" si="10"/>
        <v>0</v>
      </c>
      <c r="I75" s="12">
        <f t="shared" si="10"/>
        <v>0</v>
      </c>
      <c r="J75" s="12">
        <f t="shared" si="10"/>
        <v>0</v>
      </c>
      <c r="K75" s="12">
        <f t="shared" si="10"/>
        <v>0</v>
      </c>
      <c r="L75" s="12">
        <f t="shared" si="10"/>
        <v>0</v>
      </c>
    </row>
    <row r="76" spans="1:12" ht="13.8" thickTop="1" x14ac:dyDescent="0.25"/>
    <row r="77" spans="1:12" x14ac:dyDescent="0.25">
      <c r="A77" s="26" t="str">
        <f>+Grunddaten!B46</f>
        <v>Bank 3</v>
      </c>
      <c r="B77" s="18"/>
      <c r="C77" s="18"/>
      <c r="D77" s="18"/>
      <c r="E77" s="8" t="s">
        <v>1</v>
      </c>
      <c r="F77" s="15">
        <f>+Grunddaten!D46</f>
        <v>0</v>
      </c>
      <c r="G77" s="7"/>
      <c r="H77" s="7"/>
    </row>
    <row r="78" spans="1:12" x14ac:dyDescent="0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D79" s="8" t="s">
        <v>12</v>
      </c>
      <c r="E79" s="9">
        <v>0</v>
      </c>
      <c r="F79" s="4">
        <f>+E109</f>
        <v>0</v>
      </c>
      <c r="G79" s="4">
        <f t="shared" ref="G79:L79" si="11">+F109</f>
        <v>0</v>
      </c>
      <c r="H79" s="4">
        <f t="shared" si="11"/>
        <v>0</v>
      </c>
      <c r="I79" s="4">
        <f t="shared" si="11"/>
        <v>0</v>
      </c>
      <c r="J79" s="4">
        <f t="shared" si="11"/>
        <v>0</v>
      </c>
      <c r="K79" s="4">
        <f t="shared" si="11"/>
        <v>0</v>
      </c>
      <c r="L79" s="4">
        <f t="shared" si="11"/>
        <v>0</v>
      </c>
    </row>
    <row r="80" spans="1:12" x14ac:dyDescent="0.25">
      <c r="A80" s="25" t="s">
        <v>4</v>
      </c>
      <c r="E80" s="9"/>
      <c r="F80" s="9"/>
      <c r="G80" s="9"/>
      <c r="H80" s="9"/>
      <c r="I80" s="9"/>
      <c r="J80" s="9"/>
      <c r="K80" s="9"/>
      <c r="L80" s="9"/>
    </row>
    <row r="81" spans="1:12" x14ac:dyDescent="0.25">
      <c r="E81" s="9"/>
      <c r="F81" s="9"/>
      <c r="G81" s="9"/>
      <c r="H81" s="9"/>
      <c r="I81" s="9"/>
      <c r="J81" s="9"/>
      <c r="K81" s="9"/>
      <c r="L81" s="9"/>
    </row>
    <row r="82" spans="1:12" x14ac:dyDescent="0.25">
      <c r="E82" s="9"/>
      <c r="F82" s="9"/>
      <c r="G82" s="9"/>
      <c r="H82" s="9"/>
      <c r="I82" s="9"/>
      <c r="J82" s="9"/>
      <c r="K82" s="9"/>
      <c r="L82" s="9"/>
    </row>
    <row r="83" spans="1:12" x14ac:dyDescent="0.25">
      <c r="E83" s="9"/>
      <c r="F83" s="9"/>
      <c r="G83" s="9"/>
      <c r="H83" s="9"/>
      <c r="I83" s="9"/>
      <c r="J83" s="9"/>
      <c r="K83" s="9"/>
      <c r="L83" s="9"/>
    </row>
    <row r="84" spans="1:12" x14ac:dyDescent="0.25">
      <c r="E84" s="9"/>
      <c r="F84" s="9"/>
      <c r="G84" s="9"/>
      <c r="H84" s="9"/>
      <c r="I84" s="9"/>
      <c r="J84" s="9"/>
      <c r="K84" s="9"/>
      <c r="L84" s="9"/>
    </row>
    <row r="85" spans="1:12" x14ac:dyDescent="0.25">
      <c r="E85" s="9"/>
      <c r="F85" s="9"/>
      <c r="G85" s="9"/>
      <c r="H85" s="9"/>
      <c r="I85" s="9"/>
      <c r="J85" s="9"/>
      <c r="K85" s="9"/>
      <c r="L85" s="9"/>
    </row>
    <row r="86" spans="1:12" x14ac:dyDescent="0.25">
      <c r="E86" s="9"/>
      <c r="F86" s="9"/>
      <c r="G86" s="9"/>
      <c r="H86" s="9"/>
      <c r="I86" s="9"/>
      <c r="J86" s="9"/>
      <c r="K86" s="9"/>
      <c r="L86" s="9"/>
    </row>
    <row r="87" spans="1:12" x14ac:dyDescent="0.25">
      <c r="E87" s="9"/>
      <c r="F87" s="9"/>
      <c r="G87" s="9"/>
      <c r="H87" s="9"/>
      <c r="I87" s="9"/>
      <c r="J87" s="9"/>
      <c r="K87" s="9"/>
      <c r="L87" s="9"/>
    </row>
    <row r="88" spans="1:12" x14ac:dyDescent="0.25">
      <c r="E88" s="9"/>
      <c r="F88" s="9"/>
      <c r="G88" s="9"/>
      <c r="H88" s="9"/>
      <c r="I88" s="9"/>
      <c r="J88" s="9"/>
      <c r="K88" s="9"/>
      <c r="L88" s="9"/>
    </row>
    <row r="89" spans="1:12" x14ac:dyDescent="0.25">
      <c r="E89" s="9"/>
      <c r="F89" s="9"/>
      <c r="G89" s="9"/>
      <c r="H89" s="9"/>
      <c r="I89" s="9"/>
      <c r="J89" s="9"/>
      <c r="K89" s="9"/>
      <c r="L89" s="9"/>
    </row>
    <row r="90" spans="1:12" x14ac:dyDescent="0.25">
      <c r="B90" s="4" t="s">
        <v>8</v>
      </c>
      <c r="E90" s="9"/>
      <c r="F90" s="9"/>
      <c r="G90" s="9"/>
      <c r="H90" s="9"/>
      <c r="I90" s="9"/>
      <c r="J90" s="9"/>
      <c r="K90" s="9"/>
      <c r="L90" s="9"/>
    </row>
    <row r="91" spans="1:12" x14ac:dyDescent="0.25">
      <c r="D91" s="10" t="s">
        <v>5</v>
      </c>
      <c r="E91" s="11">
        <f t="shared" ref="E91:L91" si="12">SUM(E80:E90)</f>
        <v>0</v>
      </c>
      <c r="F91" s="11">
        <f t="shared" si="12"/>
        <v>0</v>
      </c>
      <c r="G91" s="11">
        <f t="shared" si="12"/>
        <v>0</v>
      </c>
      <c r="H91" s="11">
        <f t="shared" si="12"/>
        <v>0</v>
      </c>
      <c r="I91" s="11">
        <f t="shared" si="12"/>
        <v>0</v>
      </c>
      <c r="J91" s="11">
        <f t="shared" si="12"/>
        <v>0</v>
      </c>
      <c r="K91" s="11">
        <f t="shared" si="12"/>
        <v>0</v>
      </c>
      <c r="L91" s="11">
        <f t="shared" si="12"/>
        <v>0</v>
      </c>
    </row>
    <row r="92" spans="1:12" x14ac:dyDescent="0.25">
      <c r="A92" s="25" t="s">
        <v>6</v>
      </c>
    </row>
    <row r="93" spans="1:12" x14ac:dyDescent="0.25">
      <c r="E93" s="9"/>
      <c r="F93" s="9"/>
      <c r="G93" s="9"/>
      <c r="H93" s="9"/>
      <c r="I93" s="9"/>
      <c r="J93" s="9"/>
      <c r="K93" s="9"/>
      <c r="L93" s="9"/>
    </row>
    <row r="94" spans="1:12" x14ac:dyDescent="0.25">
      <c r="E94" s="9"/>
      <c r="F94" s="9"/>
      <c r="G94" s="9"/>
      <c r="H94" s="9"/>
      <c r="I94" s="9"/>
      <c r="J94" s="9"/>
      <c r="K94" s="9"/>
      <c r="L94" s="9"/>
    </row>
    <row r="95" spans="1:12" x14ac:dyDescent="0.25">
      <c r="E95" s="9"/>
      <c r="F95" s="9"/>
      <c r="G95" s="9"/>
      <c r="H95" s="9"/>
      <c r="I95" s="9"/>
      <c r="J95" s="9"/>
      <c r="K95" s="9"/>
      <c r="L95" s="9"/>
    </row>
    <row r="96" spans="1:12" x14ac:dyDescent="0.25">
      <c r="E96" s="9"/>
      <c r="F96" s="9"/>
      <c r="G96" s="9"/>
      <c r="H96" s="9"/>
      <c r="I96" s="9"/>
      <c r="J96" s="9"/>
      <c r="K96" s="9"/>
      <c r="L96" s="9"/>
    </row>
    <row r="97" spans="1:12" x14ac:dyDescent="0.25">
      <c r="E97" s="9"/>
      <c r="F97" s="9"/>
      <c r="G97" s="9"/>
      <c r="H97" s="9"/>
      <c r="I97" s="9"/>
      <c r="J97" s="9"/>
      <c r="K97" s="9"/>
      <c r="L97" s="9"/>
    </row>
    <row r="98" spans="1:12" x14ac:dyDescent="0.25">
      <c r="E98" s="9"/>
      <c r="F98" s="9"/>
      <c r="G98" s="9"/>
      <c r="H98" s="9"/>
      <c r="I98" s="9"/>
      <c r="J98" s="9"/>
      <c r="K98" s="9"/>
      <c r="L98" s="9"/>
    </row>
    <row r="99" spans="1:12" x14ac:dyDescent="0.25">
      <c r="E99" s="9"/>
      <c r="F99" s="9"/>
      <c r="G99" s="9"/>
      <c r="H99" s="9"/>
      <c r="I99" s="9"/>
      <c r="J99" s="9"/>
      <c r="K99" s="9"/>
      <c r="L99" s="9"/>
    </row>
    <row r="100" spans="1:12" x14ac:dyDescent="0.25"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B106" s="4" t="s">
        <v>8</v>
      </c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D107" s="10" t="s">
        <v>7</v>
      </c>
      <c r="E107" s="11">
        <f t="shared" ref="E107:L107" si="13">SUM(E93:E106)</f>
        <v>0</v>
      </c>
      <c r="F107" s="11">
        <f t="shared" si="13"/>
        <v>0</v>
      </c>
      <c r="G107" s="11">
        <f t="shared" si="13"/>
        <v>0</v>
      </c>
      <c r="H107" s="11">
        <f t="shared" si="13"/>
        <v>0</v>
      </c>
      <c r="I107" s="11">
        <f t="shared" si="13"/>
        <v>0</v>
      </c>
      <c r="J107" s="11">
        <f t="shared" si="13"/>
        <v>0</v>
      </c>
      <c r="K107" s="11">
        <f t="shared" si="13"/>
        <v>0</v>
      </c>
      <c r="L107" s="11">
        <f t="shared" si="13"/>
        <v>0</v>
      </c>
    </row>
    <row r="108" spans="1:12" x14ac:dyDescent="0.25">
      <c r="D108" s="8" t="s">
        <v>9</v>
      </c>
      <c r="E108" s="4">
        <f>+E91-E107</f>
        <v>0</v>
      </c>
      <c r="F108" s="4">
        <f t="shared" ref="F108:L108" si="14">+F91-F107</f>
        <v>0</v>
      </c>
      <c r="G108" s="4">
        <f t="shared" si="14"/>
        <v>0</v>
      </c>
      <c r="H108" s="4">
        <f t="shared" si="14"/>
        <v>0</v>
      </c>
      <c r="I108" s="4">
        <f t="shared" si="14"/>
        <v>0</v>
      </c>
      <c r="J108" s="4">
        <f t="shared" si="14"/>
        <v>0</v>
      </c>
      <c r="K108" s="4">
        <f t="shared" si="14"/>
        <v>0</v>
      </c>
      <c r="L108" s="4">
        <f t="shared" si="14"/>
        <v>0</v>
      </c>
    </row>
    <row r="109" spans="1:12" ht="13.8" thickBot="1" x14ac:dyDescent="0.3">
      <c r="D109" s="8" t="s">
        <v>10</v>
      </c>
      <c r="E109" s="12">
        <f>+E79+E108</f>
        <v>0</v>
      </c>
      <c r="F109" s="12">
        <f t="shared" ref="F109:L109" si="15">+F79+F108</f>
        <v>0</v>
      </c>
      <c r="G109" s="12">
        <f t="shared" si="15"/>
        <v>0</v>
      </c>
      <c r="H109" s="12">
        <f t="shared" si="15"/>
        <v>0</v>
      </c>
      <c r="I109" s="12">
        <f t="shared" si="15"/>
        <v>0</v>
      </c>
      <c r="J109" s="12">
        <f t="shared" si="15"/>
        <v>0</v>
      </c>
      <c r="K109" s="12">
        <f t="shared" si="15"/>
        <v>0</v>
      </c>
      <c r="L109" s="12">
        <f t="shared" si="15"/>
        <v>0</v>
      </c>
    </row>
    <row r="110" spans="1:12" ht="13.8" thickTop="1" x14ac:dyDescent="0.25"/>
    <row r="111" spans="1:12" x14ac:dyDescent="0.25">
      <c r="A111" s="26" t="str">
        <f>+Grunddaten!B47</f>
        <v>Bank 4</v>
      </c>
      <c r="B111" s="18"/>
      <c r="C111" s="18"/>
      <c r="D111" s="18"/>
      <c r="E111" s="8" t="s">
        <v>1</v>
      </c>
      <c r="F111" s="15">
        <f>+Grunddaten!D47</f>
        <v>0</v>
      </c>
      <c r="G111" s="7"/>
      <c r="H111" s="7"/>
    </row>
    <row r="112" spans="1:12" x14ac:dyDescent="0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D113" s="8" t="s">
        <v>12</v>
      </c>
      <c r="E113" s="9">
        <v>0</v>
      </c>
      <c r="F113" s="4">
        <f>+E143</f>
        <v>0</v>
      </c>
      <c r="G113" s="4">
        <f t="shared" ref="G113:L113" si="16">+F143</f>
        <v>0</v>
      </c>
      <c r="H113" s="4">
        <f t="shared" si="16"/>
        <v>0</v>
      </c>
      <c r="I113" s="4">
        <f t="shared" si="16"/>
        <v>0</v>
      </c>
      <c r="J113" s="4">
        <f t="shared" si="16"/>
        <v>0</v>
      </c>
      <c r="K113" s="4">
        <f t="shared" si="16"/>
        <v>0</v>
      </c>
      <c r="L113" s="4">
        <f t="shared" si="16"/>
        <v>0</v>
      </c>
    </row>
    <row r="114" spans="1:12" x14ac:dyDescent="0.25">
      <c r="A114" s="25" t="s">
        <v>4</v>
      </c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25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25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25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25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25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E120" s="9"/>
      <c r="F120" s="9"/>
      <c r="G120" s="9"/>
      <c r="H120" s="9" t="s">
        <v>28</v>
      </c>
      <c r="I120" s="9" t="s">
        <v>28</v>
      </c>
      <c r="J120" s="9" t="s">
        <v>28</v>
      </c>
      <c r="K120" s="9"/>
      <c r="L120" s="9"/>
    </row>
    <row r="121" spans="1:12" x14ac:dyDescent="0.25"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B124" s="4" t="s">
        <v>8</v>
      </c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D125" s="10" t="s">
        <v>5</v>
      </c>
      <c r="E125" s="11">
        <f t="shared" ref="E125:L125" si="17">SUM(E114:E124)</f>
        <v>0</v>
      </c>
      <c r="F125" s="11">
        <f t="shared" si="17"/>
        <v>0</v>
      </c>
      <c r="G125" s="11">
        <f t="shared" si="17"/>
        <v>0</v>
      </c>
      <c r="H125" s="11">
        <f t="shared" si="17"/>
        <v>0</v>
      </c>
      <c r="I125" s="11">
        <f t="shared" si="17"/>
        <v>0</v>
      </c>
      <c r="J125" s="11">
        <f t="shared" si="17"/>
        <v>0</v>
      </c>
      <c r="K125" s="11">
        <f t="shared" si="17"/>
        <v>0</v>
      </c>
      <c r="L125" s="11">
        <f t="shared" si="17"/>
        <v>0</v>
      </c>
    </row>
    <row r="126" spans="1:12" x14ac:dyDescent="0.25">
      <c r="A126" s="25" t="s">
        <v>6</v>
      </c>
    </row>
    <row r="127" spans="1:12" x14ac:dyDescent="0.25">
      <c r="A127" s="25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5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5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5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5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5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B140" s="4" t="s">
        <v>8</v>
      </c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D141" s="10" t="s">
        <v>7</v>
      </c>
      <c r="E141" s="11">
        <f>SUM(E127:E140)</f>
        <v>0</v>
      </c>
      <c r="F141" s="11">
        <f t="shared" ref="F141:L141" si="18">SUM(F127:F140)</f>
        <v>0</v>
      </c>
      <c r="G141" s="11">
        <f t="shared" si="18"/>
        <v>0</v>
      </c>
      <c r="H141" s="11">
        <f t="shared" si="18"/>
        <v>0</v>
      </c>
      <c r="I141" s="11">
        <f t="shared" si="18"/>
        <v>0</v>
      </c>
      <c r="J141" s="11">
        <f t="shared" si="18"/>
        <v>0</v>
      </c>
      <c r="K141" s="11">
        <f t="shared" si="18"/>
        <v>0</v>
      </c>
      <c r="L141" s="11">
        <f t="shared" si="18"/>
        <v>0</v>
      </c>
    </row>
    <row r="142" spans="1:12" x14ac:dyDescent="0.25">
      <c r="D142" s="8" t="s">
        <v>9</v>
      </c>
      <c r="E142" s="4">
        <f>+E125-E141</f>
        <v>0</v>
      </c>
      <c r="F142" s="4">
        <f t="shared" ref="F142:L142" si="19">+F125-F141</f>
        <v>0</v>
      </c>
      <c r="G142" s="4">
        <f t="shared" si="19"/>
        <v>0</v>
      </c>
      <c r="H142" s="4">
        <f t="shared" si="19"/>
        <v>0</v>
      </c>
      <c r="I142" s="4">
        <f t="shared" si="19"/>
        <v>0</v>
      </c>
      <c r="J142" s="4">
        <f t="shared" si="19"/>
        <v>0</v>
      </c>
      <c r="K142" s="4">
        <f t="shared" si="19"/>
        <v>0</v>
      </c>
      <c r="L142" s="4">
        <f t="shared" si="19"/>
        <v>0</v>
      </c>
    </row>
    <row r="143" spans="1:12" ht="13.8" thickBot="1" x14ac:dyDescent="0.3">
      <c r="D143" s="8" t="s">
        <v>10</v>
      </c>
      <c r="E143" s="12">
        <f>+E113+E142</f>
        <v>0</v>
      </c>
      <c r="F143" s="12">
        <f t="shared" ref="F143:L143" si="20">+F113+F142</f>
        <v>0</v>
      </c>
      <c r="G143" s="12">
        <f t="shared" si="20"/>
        <v>0</v>
      </c>
      <c r="H143" s="12">
        <f t="shared" si="20"/>
        <v>0</v>
      </c>
      <c r="I143" s="12">
        <f t="shared" si="20"/>
        <v>0</v>
      </c>
      <c r="J143" s="12">
        <f t="shared" si="20"/>
        <v>0</v>
      </c>
      <c r="K143" s="12">
        <f t="shared" si="20"/>
        <v>0</v>
      </c>
      <c r="L143" s="12">
        <f t="shared" si="20"/>
        <v>0</v>
      </c>
    </row>
    <row r="144" spans="1:12" ht="13.8" thickTop="1" x14ac:dyDescent="0.25">
      <c r="D144" s="8"/>
    </row>
    <row r="145" spans="1:12" x14ac:dyDescent="0.25">
      <c r="A145" s="26" t="str">
        <f>+Grunddaten!B48</f>
        <v>Bank 5</v>
      </c>
      <c r="B145" s="18"/>
      <c r="C145" s="18"/>
      <c r="D145" s="18"/>
      <c r="E145" s="8" t="s">
        <v>1</v>
      </c>
      <c r="F145" s="15">
        <f>+Grunddaten!D48</f>
        <v>0</v>
      </c>
      <c r="G145" s="7"/>
      <c r="H145" s="7"/>
    </row>
    <row r="146" spans="1:12" x14ac:dyDescent="0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D147" s="8" t="s">
        <v>12</v>
      </c>
      <c r="E147" s="9">
        <v>0</v>
      </c>
      <c r="F147" s="4">
        <f>+E177</f>
        <v>0</v>
      </c>
      <c r="G147" s="4">
        <f t="shared" ref="G147:L147" si="21">+F177</f>
        <v>0</v>
      </c>
      <c r="H147" s="4">
        <f t="shared" si="21"/>
        <v>0</v>
      </c>
      <c r="I147" s="4">
        <f t="shared" si="21"/>
        <v>0</v>
      </c>
      <c r="J147" s="4">
        <f t="shared" si="21"/>
        <v>0</v>
      </c>
      <c r="K147" s="4">
        <f t="shared" si="21"/>
        <v>0</v>
      </c>
      <c r="L147" s="4">
        <f t="shared" si="21"/>
        <v>0</v>
      </c>
    </row>
    <row r="148" spans="1:12" x14ac:dyDescent="0.25">
      <c r="A148" s="25" t="s">
        <v>4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E150" s="9"/>
      <c r="F150" s="9"/>
      <c r="G150" s="9"/>
      <c r="H150" s="9"/>
      <c r="I150" s="9"/>
      <c r="J150" s="9"/>
      <c r="K150" s="9"/>
      <c r="L150" s="9"/>
    </row>
    <row r="151" spans="1:12" x14ac:dyDescent="0.25"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B158" s="4" t="s">
        <v>8</v>
      </c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D159" s="10" t="s">
        <v>5</v>
      </c>
      <c r="E159" s="11">
        <f>SUM(E148:E158)</f>
        <v>0</v>
      </c>
      <c r="F159" s="11">
        <f t="shared" ref="F159:L159" si="22">SUM(F148:F158)</f>
        <v>0</v>
      </c>
      <c r="G159" s="11">
        <f t="shared" si="22"/>
        <v>0</v>
      </c>
      <c r="H159" s="11">
        <f t="shared" si="22"/>
        <v>0</v>
      </c>
      <c r="I159" s="11">
        <f t="shared" si="22"/>
        <v>0</v>
      </c>
      <c r="J159" s="11">
        <f t="shared" si="22"/>
        <v>0</v>
      </c>
      <c r="K159" s="11">
        <f t="shared" si="22"/>
        <v>0</v>
      </c>
      <c r="L159" s="11">
        <f t="shared" si="22"/>
        <v>0</v>
      </c>
    </row>
    <row r="160" spans="1:12" x14ac:dyDescent="0.25">
      <c r="A160" s="25" t="s">
        <v>6</v>
      </c>
    </row>
    <row r="161" spans="2:12" x14ac:dyDescent="0.25">
      <c r="E161" s="9"/>
      <c r="F161" s="9"/>
      <c r="G161" s="9"/>
      <c r="H161" s="9"/>
      <c r="I161" s="9"/>
      <c r="J161" s="9"/>
      <c r="K161" s="9"/>
      <c r="L161" s="9"/>
    </row>
    <row r="162" spans="2:12" x14ac:dyDescent="0.25">
      <c r="E162" s="9"/>
      <c r="F162" s="9"/>
      <c r="G162" s="9"/>
      <c r="H162" s="9"/>
      <c r="I162" s="9"/>
      <c r="J162" s="9"/>
      <c r="K162" s="9"/>
      <c r="L162" s="9"/>
    </row>
    <row r="163" spans="2:12" x14ac:dyDescent="0.25">
      <c r="E163" s="9"/>
      <c r="F163" s="9"/>
      <c r="G163" s="9"/>
      <c r="H163" s="9"/>
      <c r="I163" s="9"/>
      <c r="J163" s="9"/>
      <c r="K163" s="9"/>
      <c r="L163" s="9"/>
    </row>
    <row r="164" spans="2:12" x14ac:dyDescent="0.25">
      <c r="E164" s="9"/>
      <c r="F164" s="9"/>
      <c r="G164" s="9"/>
      <c r="H164" s="9"/>
      <c r="I164" s="9"/>
      <c r="J164" s="9"/>
      <c r="K164" s="9"/>
      <c r="L164" s="9"/>
    </row>
    <row r="165" spans="2:12" x14ac:dyDescent="0.25">
      <c r="E165" s="9"/>
      <c r="F165" s="9"/>
      <c r="G165" s="9"/>
      <c r="H165" s="9"/>
      <c r="I165" s="9"/>
      <c r="J165" s="9"/>
      <c r="K165" s="9"/>
      <c r="L165" s="9"/>
    </row>
    <row r="166" spans="2:12" x14ac:dyDescent="0.25">
      <c r="E166" s="9"/>
      <c r="F166" s="9"/>
      <c r="G166" s="9"/>
      <c r="H166" s="9"/>
      <c r="I166" s="9"/>
      <c r="J166" s="9"/>
      <c r="K166" s="9"/>
      <c r="L166" s="9"/>
    </row>
    <row r="167" spans="2:12" x14ac:dyDescent="0.25">
      <c r="E167" s="9"/>
      <c r="F167" s="9"/>
      <c r="G167" s="9"/>
      <c r="H167" s="9"/>
      <c r="I167" s="9"/>
      <c r="J167" s="9"/>
      <c r="K167" s="9"/>
      <c r="L167" s="9"/>
    </row>
    <row r="168" spans="2:12" x14ac:dyDescent="0.25">
      <c r="E168" s="9"/>
      <c r="F168" s="9"/>
      <c r="G168" s="9"/>
      <c r="H168" s="9"/>
      <c r="I168" s="9"/>
      <c r="J168" s="9"/>
      <c r="K168" s="9"/>
      <c r="L168" s="9"/>
    </row>
    <row r="169" spans="2:12" x14ac:dyDescent="0.25">
      <c r="E169" s="9"/>
      <c r="F169" s="9"/>
      <c r="G169" s="9"/>
      <c r="H169" s="9"/>
      <c r="I169" s="9"/>
      <c r="J169" s="9"/>
      <c r="K169" s="9"/>
      <c r="L169" s="9"/>
    </row>
    <row r="170" spans="2:12" x14ac:dyDescent="0.25">
      <c r="E170" s="9"/>
      <c r="F170" s="9"/>
      <c r="G170" s="9"/>
      <c r="H170" s="9"/>
      <c r="I170" s="9"/>
      <c r="J170" s="9"/>
      <c r="K170" s="9"/>
      <c r="L170" s="9"/>
    </row>
    <row r="171" spans="2:12" x14ac:dyDescent="0.25">
      <c r="E171" s="9"/>
      <c r="F171" s="9"/>
      <c r="G171" s="9"/>
      <c r="H171" s="9"/>
      <c r="I171" s="9"/>
      <c r="J171" s="9"/>
      <c r="K171" s="9"/>
      <c r="L171" s="9"/>
    </row>
    <row r="172" spans="2:12" x14ac:dyDescent="0.25">
      <c r="E172" s="9"/>
      <c r="F172" s="9"/>
      <c r="G172" s="9"/>
      <c r="H172" s="9"/>
      <c r="I172" s="9"/>
      <c r="J172" s="9"/>
      <c r="K172" s="9"/>
      <c r="L172" s="9"/>
    </row>
    <row r="173" spans="2:12" x14ac:dyDescent="0.25">
      <c r="E173" s="9"/>
      <c r="F173" s="9"/>
      <c r="G173" s="9"/>
      <c r="H173" s="9"/>
      <c r="I173" s="9"/>
      <c r="J173" s="9"/>
      <c r="K173" s="9"/>
      <c r="L173" s="9"/>
    </row>
    <row r="174" spans="2:12" x14ac:dyDescent="0.25">
      <c r="B174" s="4" t="s">
        <v>8</v>
      </c>
      <c r="E174" s="9"/>
      <c r="F174" s="9"/>
      <c r="G174" s="9"/>
      <c r="H174" s="9"/>
      <c r="I174" s="9"/>
      <c r="J174" s="9"/>
      <c r="K174" s="9"/>
      <c r="L174" s="9"/>
    </row>
    <row r="175" spans="2:12" x14ac:dyDescent="0.25">
      <c r="D175" s="10" t="s">
        <v>7</v>
      </c>
      <c r="E175" s="11">
        <f t="shared" ref="E175:L175" si="23">SUM(E161:E174)</f>
        <v>0</v>
      </c>
      <c r="F175" s="11">
        <f t="shared" si="23"/>
        <v>0</v>
      </c>
      <c r="G175" s="11">
        <f t="shared" si="23"/>
        <v>0</v>
      </c>
      <c r="H175" s="11">
        <f t="shared" si="23"/>
        <v>0</v>
      </c>
      <c r="I175" s="11">
        <f t="shared" si="23"/>
        <v>0</v>
      </c>
      <c r="J175" s="11">
        <f t="shared" si="23"/>
        <v>0</v>
      </c>
      <c r="K175" s="11">
        <f t="shared" si="23"/>
        <v>0</v>
      </c>
      <c r="L175" s="11">
        <f t="shared" si="23"/>
        <v>0</v>
      </c>
    </row>
    <row r="176" spans="2:12" x14ac:dyDescent="0.25">
      <c r="D176" s="8" t="s">
        <v>9</v>
      </c>
      <c r="E176" s="4">
        <f t="shared" ref="E176:L176" si="24">+E159-E175</f>
        <v>0</v>
      </c>
      <c r="F176" s="4">
        <f t="shared" si="24"/>
        <v>0</v>
      </c>
      <c r="G176" s="4">
        <f t="shared" si="24"/>
        <v>0</v>
      </c>
      <c r="H176" s="4">
        <f t="shared" si="24"/>
        <v>0</v>
      </c>
      <c r="I176" s="4">
        <f t="shared" si="24"/>
        <v>0</v>
      </c>
      <c r="J176" s="4">
        <f t="shared" si="24"/>
        <v>0</v>
      </c>
      <c r="K176" s="4">
        <f t="shared" si="24"/>
        <v>0</v>
      </c>
      <c r="L176" s="4">
        <f t="shared" si="24"/>
        <v>0</v>
      </c>
    </row>
    <row r="177" spans="1:12" x14ac:dyDescent="0.25">
      <c r="D177" s="8" t="s">
        <v>10</v>
      </c>
      <c r="E177" s="4">
        <f>+E147-E176</f>
        <v>0</v>
      </c>
      <c r="F177" s="4">
        <f t="shared" ref="F177:L177" si="25">+F147-F176</f>
        <v>0</v>
      </c>
      <c r="G177" s="4">
        <f t="shared" si="25"/>
        <v>0</v>
      </c>
      <c r="H177" s="4">
        <f t="shared" si="25"/>
        <v>0</v>
      </c>
      <c r="I177" s="4">
        <f t="shared" si="25"/>
        <v>0</v>
      </c>
      <c r="J177" s="4">
        <f t="shared" si="25"/>
        <v>0</v>
      </c>
      <c r="K177" s="4">
        <f t="shared" si="25"/>
        <v>0</v>
      </c>
      <c r="L177" s="4">
        <f t="shared" si="25"/>
        <v>0</v>
      </c>
    </row>
    <row r="179" spans="1:12" x14ac:dyDescent="0.25">
      <c r="A179" s="29" t="str">
        <f>Grunddaten!B49</f>
        <v>Bank 6</v>
      </c>
      <c r="B179" s="30"/>
      <c r="C179" s="30"/>
      <c r="D179" s="30"/>
      <c r="E179" s="8" t="s">
        <v>1</v>
      </c>
      <c r="F179" s="15">
        <f>+Grunddaten!D49</f>
        <v>0</v>
      </c>
      <c r="G179" s="7"/>
      <c r="H179" s="7"/>
    </row>
    <row r="180" spans="1:12" x14ac:dyDescent="0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D181" s="8" t="s">
        <v>12</v>
      </c>
      <c r="E181" s="9"/>
      <c r="F181" s="4">
        <f>+E211</f>
        <v>0</v>
      </c>
      <c r="G181" s="4">
        <f t="shared" ref="G181:L181" si="26">+F211</f>
        <v>0</v>
      </c>
      <c r="H181" s="4">
        <f t="shared" si="26"/>
        <v>0</v>
      </c>
      <c r="I181" s="4">
        <f t="shared" si="26"/>
        <v>0</v>
      </c>
      <c r="J181" s="4">
        <f t="shared" si="26"/>
        <v>0</v>
      </c>
      <c r="K181" s="4">
        <f t="shared" si="26"/>
        <v>0</v>
      </c>
      <c r="L181" s="4">
        <f t="shared" si="26"/>
        <v>0</v>
      </c>
    </row>
    <row r="182" spans="1:12" x14ac:dyDescent="0.25">
      <c r="A182" s="25" t="s">
        <v>4</v>
      </c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25"/>
      <c r="E183" s="9"/>
      <c r="F183" s="9"/>
      <c r="G183" s="9"/>
      <c r="H183" s="9"/>
      <c r="I183" s="9"/>
      <c r="J183" s="9"/>
      <c r="K183" s="9"/>
      <c r="L183" s="9"/>
    </row>
    <row r="184" spans="1:12" x14ac:dyDescent="0.25">
      <c r="A184" s="25"/>
      <c r="E184" s="9"/>
      <c r="F184" s="9"/>
      <c r="G184" s="9"/>
      <c r="H184" s="9"/>
      <c r="I184" s="9"/>
      <c r="J184" s="9"/>
      <c r="K184" s="9"/>
      <c r="L184" s="9"/>
    </row>
    <row r="185" spans="1:12" x14ac:dyDescent="0.25">
      <c r="A185" s="25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25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25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B192" s="4" t="s">
        <v>8</v>
      </c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D193" s="10" t="s">
        <v>5</v>
      </c>
      <c r="E193" s="11">
        <f t="shared" ref="E193:L193" si="27">SUM(E182:E192)</f>
        <v>0</v>
      </c>
      <c r="F193" s="11">
        <f t="shared" si="27"/>
        <v>0</v>
      </c>
      <c r="G193" s="11">
        <f t="shared" si="27"/>
        <v>0</v>
      </c>
      <c r="H193" s="11">
        <f t="shared" si="27"/>
        <v>0</v>
      </c>
      <c r="I193" s="11">
        <f t="shared" si="27"/>
        <v>0</v>
      </c>
      <c r="J193" s="11">
        <f t="shared" si="27"/>
        <v>0</v>
      </c>
      <c r="K193" s="11">
        <f t="shared" si="27"/>
        <v>0</v>
      </c>
      <c r="L193" s="11">
        <f t="shared" si="27"/>
        <v>0</v>
      </c>
    </row>
    <row r="194" spans="1:12" x14ac:dyDescent="0.25">
      <c r="A194" s="25" t="s">
        <v>6</v>
      </c>
    </row>
    <row r="195" spans="1:12" x14ac:dyDescent="0.25"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E198" s="9"/>
      <c r="F198" s="9"/>
      <c r="G198" s="9"/>
      <c r="H198" s="9"/>
      <c r="I198" s="9"/>
      <c r="J198" s="9"/>
      <c r="K198" s="9"/>
      <c r="L198" s="9"/>
    </row>
    <row r="199" spans="1:12" x14ac:dyDescent="0.25"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E200" s="9"/>
      <c r="F200" s="9"/>
      <c r="G200" s="9"/>
      <c r="H200" s="9"/>
      <c r="I200" s="9"/>
      <c r="J200" s="9"/>
      <c r="K200" s="9"/>
      <c r="L200" s="9"/>
    </row>
    <row r="201" spans="1:12" x14ac:dyDescent="0.25">
      <c r="E201" s="9"/>
      <c r="F201" s="9"/>
      <c r="G201" s="9"/>
      <c r="H201" s="9"/>
      <c r="I201" s="9"/>
      <c r="J201" s="9"/>
      <c r="K201" s="9"/>
      <c r="L201" s="9"/>
    </row>
    <row r="202" spans="1:12" x14ac:dyDescent="0.25">
      <c r="E202" s="9"/>
      <c r="F202" s="9"/>
      <c r="G202" s="9"/>
      <c r="H202" s="9"/>
      <c r="I202" s="9"/>
      <c r="J202" s="9"/>
      <c r="K202" s="9"/>
      <c r="L202" s="9"/>
    </row>
    <row r="203" spans="1:12" x14ac:dyDescent="0.25">
      <c r="E203" s="9"/>
      <c r="F203" s="9"/>
      <c r="G203" s="9"/>
      <c r="H203" s="9"/>
      <c r="I203" s="9"/>
      <c r="J203" s="9"/>
      <c r="K203" s="9"/>
      <c r="L203" s="9"/>
    </row>
    <row r="204" spans="1:12" x14ac:dyDescent="0.25">
      <c r="E204" s="9"/>
      <c r="F204" s="9"/>
      <c r="G204" s="9"/>
      <c r="H204" s="9"/>
      <c r="I204" s="9"/>
      <c r="J204" s="9"/>
      <c r="K204" s="9"/>
      <c r="L204" s="9"/>
    </row>
    <row r="205" spans="1:12" x14ac:dyDescent="0.25">
      <c r="E205" s="9"/>
      <c r="F205" s="9"/>
      <c r="G205" s="9"/>
      <c r="H205" s="9"/>
      <c r="I205" s="9"/>
      <c r="J205" s="9"/>
      <c r="K205" s="9"/>
      <c r="L205" s="9"/>
    </row>
    <row r="206" spans="1:12" x14ac:dyDescent="0.25">
      <c r="E206" s="9"/>
      <c r="F206" s="9"/>
      <c r="G206" s="9"/>
      <c r="H206" s="9"/>
      <c r="I206" s="9"/>
      <c r="J206" s="9"/>
      <c r="K206" s="9"/>
      <c r="L206" s="9"/>
    </row>
    <row r="207" spans="1:12" x14ac:dyDescent="0.25">
      <c r="E207" s="9"/>
      <c r="F207" s="9"/>
      <c r="G207" s="9"/>
      <c r="H207" s="9"/>
      <c r="I207" s="9"/>
      <c r="J207" s="9"/>
      <c r="K207" s="9"/>
      <c r="L207" s="9"/>
    </row>
    <row r="208" spans="1:12" x14ac:dyDescent="0.25">
      <c r="B208" s="4" t="s">
        <v>8</v>
      </c>
      <c r="E208" s="9"/>
      <c r="F208" s="9"/>
      <c r="G208" s="9"/>
      <c r="H208" s="9"/>
      <c r="I208" s="9"/>
      <c r="J208" s="9"/>
      <c r="K208" s="9"/>
      <c r="L208" s="9"/>
    </row>
    <row r="209" spans="1:12" x14ac:dyDescent="0.25">
      <c r="D209" s="10" t="s">
        <v>7</v>
      </c>
      <c r="E209" s="11">
        <f t="shared" ref="E209:L209" si="28">SUM(E195:E208)</f>
        <v>0</v>
      </c>
      <c r="F209" s="11">
        <f t="shared" si="28"/>
        <v>0</v>
      </c>
      <c r="G209" s="11">
        <f t="shared" si="28"/>
        <v>0</v>
      </c>
      <c r="H209" s="11">
        <f t="shared" si="28"/>
        <v>0</v>
      </c>
      <c r="I209" s="11">
        <f t="shared" si="28"/>
        <v>0</v>
      </c>
      <c r="J209" s="11">
        <f t="shared" si="28"/>
        <v>0</v>
      </c>
      <c r="K209" s="11">
        <f t="shared" si="28"/>
        <v>0</v>
      </c>
      <c r="L209" s="11">
        <f t="shared" si="28"/>
        <v>0</v>
      </c>
    </row>
    <row r="210" spans="1:12" x14ac:dyDescent="0.25">
      <c r="D210" s="8" t="s">
        <v>9</v>
      </c>
      <c r="E210" s="4">
        <f t="shared" ref="E210:L210" si="29">+E193-E209</f>
        <v>0</v>
      </c>
      <c r="F210" s="4">
        <f t="shared" si="29"/>
        <v>0</v>
      </c>
      <c r="G210" s="4">
        <f t="shared" si="29"/>
        <v>0</v>
      </c>
      <c r="H210" s="4">
        <f t="shared" si="29"/>
        <v>0</v>
      </c>
      <c r="I210" s="4">
        <f t="shared" si="29"/>
        <v>0</v>
      </c>
      <c r="J210" s="4">
        <f t="shared" si="29"/>
        <v>0</v>
      </c>
      <c r="K210" s="4">
        <f t="shared" si="29"/>
        <v>0</v>
      </c>
      <c r="L210" s="4">
        <f t="shared" si="29"/>
        <v>0</v>
      </c>
    </row>
    <row r="211" spans="1:12" ht="13.8" thickBot="1" x14ac:dyDescent="0.3">
      <c r="D211" s="8" t="s">
        <v>10</v>
      </c>
      <c r="E211" s="12">
        <f t="shared" ref="E211:L211" si="30">+E181+E210</f>
        <v>0</v>
      </c>
      <c r="F211" s="12">
        <f t="shared" si="30"/>
        <v>0</v>
      </c>
      <c r="G211" s="12">
        <f t="shared" si="30"/>
        <v>0</v>
      </c>
      <c r="H211" s="12">
        <f t="shared" si="30"/>
        <v>0</v>
      </c>
      <c r="I211" s="12">
        <f t="shared" si="30"/>
        <v>0</v>
      </c>
      <c r="J211" s="12">
        <f t="shared" si="30"/>
        <v>0</v>
      </c>
      <c r="K211" s="12">
        <f t="shared" si="30"/>
        <v>0</v>
      </c>
      <c r="L211" s="12">
        <f t="shared" si="30"/>
        <v>0</v>
      </c>
    </row>
    <row r="212" spans="1:12" ht="13.8" thickTop="1" x14ac:dyDescent="0.25">
      <c r="D212" s="8"/>
    </row>
    <row r="213" spans="1:12" x14ac:dyDescent="0.25">
      <c r="A213" s="29" t="str">
        <f>Grunddaten!B50</f>
        <v>Bank 7</v>
      </c>
      <c r="B213" s="30"/>
      <c r="C213" s="30"/>
      <c r="D213" s="30"/>
      <c r="E213" s="8" t="s">
        <v>1</v>
      </c>
      <c r="F213" s="15">
        <f>+Grunddaten!D50</f>
        <v>0</v>
      </c>
      <c r="G213" s="7"/>
      <c r="H213" s="7"/>
    </row>
    <row r="214" spans="1:12" x14ac:dyDescent="0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D215" s="8" t="s">
        <v>12</v>
      </c>
      <c r="E215" s="9"/>
      <c r="F215" s="4">
        <f>+E245</f>
        <v>0</v>
      </c>
      <c r="G215" s="4">
        <f t="shared" ref="G215:L215" si="31">+F245</f>
        <v>0</v>
      </c>
      <c r="H215" s="4">
        <f t="shared" si="31"/>
        <v>0</v>
      </c>
      <c r="I215" s="4">
        <f t="shared" si="31"/>
        <v>0</v>
      </c>
      <c r="J215" s="4">
        <f t="shared" si="31"/>
        <v>0</v>
      </c>
      <c r="K215" s="4">
        <f t="shared" si="31"/>
        <v>0</v>
      </c>
      <c r="L215" s="4">
        <f t="shared" si="31"/>
        <v>0</v>
      </c>
    </row>
    <row r="216" spans="1:12" x14ac:dyDescent="0.25">
      <c r="A216" s="25" t="s">
        <v>4</v>
      </c>
      <c r="E216" s="9"/>
      <c r="F216" s="9"/>
      <c r="G216" s="9"/>
      <c r="H216" s="9"/>
      <c r="I216" s="9"/>
      <c r="J216" s="9"/>
      <c r="K216" s="9"/>
      <c r="L216" s="9"/>
    </row>
    <row r="217" spans="1:12" x14ac:dyDescent="0.25">
      <c r="A217" s="25"/>
      <c r="E217" s="9"/>
      <c r="F217" s="9"/>
      <c r="G217" s="9"/>
      <c r="H217" s="9"/>
      <c r="I217" s="9"/>
      <c r="J217" s="9"/>
      <c r="K217" s="9"/>
      <c r="L217" s="9"/>
    </row>
    <row r="218" spans="1:12" x14ac:dyDescent="0.25">
      <c r="A218" s="25"/>
      <c r="E218" s="9"/>
      <c r="F218" s="9"/>
      <c r="G218" s="9"/>
      <c r="H218" s="9"/>
      <c r="I218" s="9"/>
      <c r="J218" s="9"/>
      <c r="K218" s="9"/>
      <c r="L218" s="9"/>
    </row>
    <row r="219" spans="1:12" x14ac:dyDescent="0.25">
      <c r="A219" s="25"/>
      <c r="E219" s="9"/>
      <c r="F219" s="9"/>
      <c r="G219" s="9"/>
      <c r="H219" s="9"/>
      <c r="I219" s="9"/>
      <c r="J219" s="9"/>
      <c r="K219" s="9"/>
      <c r="L219" s="9"/>
    </row>
    <row r="220" spans="1:12" x14ac:dyDescent="0.25">
      <c r="A220" s="25"/>
      <c r="E220" s="9"/>
      <c r="F220" s="9"/>
      <c r="G220" s="9"/>
      <c r="H220" s="9"/>
      <c r="I220" s="9"/>
      <c r="J220" s="9"/>
      <c r="K220" s="9"/>
      <c r="L220" s="9"/>
    </row>
    <row r="221" spans="1:12" x14ac:dyDescent="0.25">
      <c r="A221" s="25"/>
      <c r="E221" s="9"/>
      <c r="F221" s="9"/>
      <c r="G221" s="9"/>
      <c r="H221" s="9"/>
      <c r="I221" s="9"/>
      <c r="J221" s="9"/>
      <c r="K221" s="9"/>
      <c r="L221" s="9"/>
    </row>
    <row r="222" spans="1:12" x14ac:dyDescent="0.25">
      <c r="E222" s="9"/>
      <c r="F222" s="9"/>
      <c r="G222" s="9"/>
      <c r="H222" s="9"/>
      <c r="I222" s="9"/>
      <c r="J222" s="9"/>
      <c r="K222" s="9"/>
      <c r="L222" s="9"/>
    </row>
    <row r="223" spans="1:12" x14ac:dyDescent="0.25">
      <c r="E223" s="9"/>
      <c r="F223" s="9"/>
      <c r="G223" s="9"/>
      <c r="H223" s="9"/>
      <c r="I223" s="9"/>
      <c r="J223" s="9"/>
      <c r="K223" s="9"/>
      <c r="L223" s="9"/>
    </row>
    <row r="224" spans="1:12" x14ac:dyDescent="0.25">
      <c r="E224" s="9"/>
      <c r="F224" s="9"/>
      <c r="G224" s="9"/>
      <c r="H224" s="9"/>
      <c r="I224" s="9"/>
      <c r="J224" s="9"/>
      <c r="K224" s="9"/>
      <c r="L224" s="9"/>
    </row>
    <row r="225" spans="1:12" x14ac:dyDescent="0.25">
      <c r="E225" s="9"/>
      <c r="F225" s="9"/>
      <c r="G225" s="9"/>
      <c r="H225" s="9"/>
      <c r="I225" s="9"/>
      <c r="J225" s="9"/>
      <c r="K225" s="9"/>
      <c r="L225" s="9"/>
    </row>
    <row r="226" spans="1:12" x14ac:dyDescent="0.25">
      <c r="B226" s="4" t="s">
        <v>8</v>
      </c>
      <c r="E226" s="9"/>
      <c r="F226" s="9"/>
      <c r="G226" s="9"/>
      <c r="H226" s="9"/>
      <c r="I226" s="9"/>
      <c r="J226" s="9"/>
      <c r="K226" s="9"/>
      <c r="L226" s="9"/>
    </row>
    <row r="227" spans="1:12" x14ac:dyDescent="0.25">
      <c r="D227" s="10" t="s">
        <v>5</v>
      </c>
      <c r="E227" s="11">
        <f t="shared" ref="E227:L227" si="32">SUM(E216:E226)</f>
        <v>0</v>
      </c>
      <c r="F227" s="11">
        <f t="shared" si="32"/>
        <v>0</v>
      </c>
      <c r="G227" s="11">
        <f t="shared" si="32"/>
        <v>0</v>
      </c>
      <c r="H227" s="11">
        <f t="shared" si="32"/>
        <v>0</v>
      </c>
      <c r="I227" s="11">
        <f t="shared" si="32"/>
        <v>0</v>
      </c>
      <c r="J227" s="11">
        <f t="shared" si="32"/>
        <v>0</v>
      </c>
      <c r="K227" s="11">
        <f t="shared" si="32"/>
        <v>0</v>
      </c>
      <c r="L227" s="11">
        <f t="shared" si="32"/>
        <v>0</v>
      </c>
    </row>
    <row r="228" spans="1:12" x14ac:dyDescent="0.25">
      <c r="A228" s="25" t="s">
        <v>6</v>
      </c>
    </row>
    <row r="229" spans="1:12" x14ac:dyDescent="0.25">
      <c r="E229" s="9"/>
      <c r="F229" s="9"/>
      <c r="G229" s="9"/>
      <c r="H229" s="9"/>
      <c r="I229" s="9"/>
      <c r="J229" s="9"/>
      <c r="K229" s="9"/>
      <c r="L229" s="9"/>
    </row>
    <row r="230" spans="1:12" x14ac:dyDescent="0.25">
      <c r="E230" s="9"/>
      <c r="F230" s="9"/>
      <c r="G230" s="9"/>
      <c r="H230" s="9"/>
      <c r="I230" s="9"/>
      <c r="J230" s="9"/>
      <c r="K230" s="9"/>
      <c r="L230" s="9"/>
    </row>
    <row r="231" spans="1:12" x14ac:dyDescent="0.25">
      <c r="E231" s="9"/>
      <c r="F231" s="9"/>
      <c r="G231" s="9"/>
      <c r="H231" s="9"/>
      <c r="I231" s="9"/>
      <c r="J231" s="9"/>
      <c r="K231" s="9"/>
      <c r="L231" s="9"/>
    </row>
    <row r="232" spans="1:12" x14ac:dyDescent="0.25">
      <c r="E232" s="9"/>
      <c r="F232" s="9"/>
      <c r="G232" s="9"/>
      <c r="H232" s="9"/>
      <c r="I232" s="9"/>
      <c r="J232" s="9"/>
      <c r="K232" s="9"/>
      <c r="L232" s="9"/>
    </row>
    <row r="233" spans="1:12" x14ac:dyDescent="0.25"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E234" s="9"/>
      <c r="F234" s="9"/>
      <c r="G234" s="9"/>
      <c r="H234" s="9"/>
      <c r="I234" s="9"/>
      <c r="J234" s="9"/>
      <c r="K234" s="9"/>
      <c r="L234" s="9"/>
    </row>
    <row r="235" spans="1:12" x14ac:dyDescent="0.25">
      <c r="E235" s="9"/>
      <c r="F235" s="9"/>
      <c r="G235" s="9"/>
      <c r="H235" s="9"/>
      <c r="I235" s="9"/>
      <c r="J235" s="9"/>
      <c r="K235" s="9"/>
      <c r="L235" s="9"/>
    </row>
    <row r="236" spans="1:12" x14ac:dyDescent="0.25">
      <c r="E236" s="9"/>
      <c r="F236" s="9"/>
      <c r="G236" s="9"/>
      <c r="H236" s="9"/>
      <c r="I236" s="9"/>
      <c r="J236" s="9"/>
      <c r="K236" s="9"/>
      <c r="L236" s="9"/>
    </row>
    <row r="237" spans="1:12" x14ac:dyDescent="0.25">
      <c r="E237" s="9"/>
      <c r="F237" s="9"/>
      <c r="G237" s="9"/>
      <c r="H237" s="9"/>
      <c r="I237" s="9"/>
      <c r="J237" s="9"/>
      <c r="K237" s="9"/>
      <c r="L237" s="9"/>
    </row>
    <row r="238" spans="1:12" x14ac:dyDescent="0.25">
      <c r="E238" s="9"/>
      <c r="F238" s="9"/>
      <c r="G238" s="9"/>
      <c r="H238" s="9"/>
      <c r="I238" s="9"/>
      <c r="J238" s="9"/>
      <c r="K238" s="9"/>
      <c r="L238" s="9"/>
    </row>
    <row r="239" spans="1:12" x14ac:dyDescent="0.25">
      <c r="E239" s="9"/>
      <c r="F239" s="9"/>
      <c r="G239" s="9"/>
      <c r="H239" s="9"/>
      <c r="I239" s="9"/>
      <c r="J239" s="9"/>
      <c r="K239" s="9"/>
      <c r="L239" s="9"/>
    </row>
    <row r="240" spans="1:12" x14ac:dyDescent="0.25">
      <c r="E240" s="9"/>
      <c r="F240" s="9"/>
      <c r="G240" s="9"/>
      <c r="H240" s="9"/>
      <c r="I240" s="9"/>
      <c r="J240" s="9"/>
      <c r="K240" s="9"/>
      <c r="L240" s="9"/>
    </row>
    <row r="241" spans="1:12" x14ac:dyDescent="0.25">
      <c r="E241" s="9"/>
      <c r="F241" s="9"/>
      <c r="G241" s="9"/>
      <c r="H241" s="9"/>
      <c r="I241" s="9"/>
      <c r="J241" s="9"/>
      <c r="K241" s="9"/>
      <c r="L241" s="9"/>
    </row>
    <row r="242" spans="1:12" x14ac:dyDescent="0.25">
      <c r="B242" s="4" t="s">
        <v>8</v>
      </c>
      <c r="E242" s="9"/>
      <c r="F242" s="9"/>
      <c r="G242" s="9"/>
      <c r="H242" s="9"/>
      <c r="I242" s="9"/>
      <c r="J242" s="9"/>
      <c r="K242" s="9"/>
      <c r="L242" s="9"/>
    </row>
    <row r="243" spans="1:12" x14ac:dyDescent="0.25">
      <c r="D243" s="10" t="s">
        <v>7</v>
      </c>
      <c r="E243" s="11">
        <f t="shared" ref="E243:L243" si="33">SUM(E229:E242)</f>
        <v>0</v>
      </c>
      <c r="F243" s="11">
        <f t="shared" si="33"/>
        <v>0</v>
      </c>
      <c r="G243" s="11">
        <f t="shared" si="33"/>
        <v>0</v>
      </c>
      <c r="H243" s="11">
        <f t="shared" si="33"/>
        <v>0</v>
      </c>
      <c r="I243" s="11">
        <f t="shared" si="33"/>
        <v>0</v>
      </c>
      <c r="J243" s="11">
        <f t="shared" si="33"/>
        <v>0</v>
      </c>
      <c r="K243" s="11">
        <f t="shared" si="33"/>
        <v>0</v>
      </c>
      <c r="L243" s="11">
        <f t="shared" si="33"/>
        <v>0</v>
      </c>
    </row>
    <row r="244" spans="1:12" x14ac:dyDescent="0.25">
      <c r="D244" s="8" t="s">
        <v>9</v>
      </c>
      <c r="E244" s="4">
        <f>+E227-E243</f>
        <v>0</v>
      </c>
      <c r="F244" s="4">
        <f t="shared" ref="F244:L244" si="34">+F227-F243</f>
        <v>0</v>
      </c>
      <c r="G244" s="4">
        <f t="shared" si="34"/>
        <v>0</v>
      </c>
      <c r="H244" s="4">
        <f t="shared" si="34"/>
        <v>0</v>
      </c>
      <c r="I244" s="4">
        <f t="shared" si="34"/>
        <v>0</v>
      </c>
      <c r="J244" s="4">
        <f t="shared" si="34"/>
        <v>0</v>
      </c>
      <c r="K244" s="4">
        <f t="shared" si="34"/>
        <v>0</v>
      </c>
      <c r="L244" s="4">
        <f t="shared" si="34"/>
        <v>0</v>
      </c>
    </row>
    <row r="245" spans="1:12" ht="13.8" thickBot="1" x14ac:dyDescent="0.3">
      <c r="D245" s="8" t="s">
        <v>10</v>
      </c>
      <c r="E245" s="12">
        <f>+E215+E244</f>
        <v>0</v>
      </c>
      <c r="F245" s="12">
        <f t="shared" ref="F245:L245" si="35">+F215+F244</f>
        <v>0</v>
      </c>
      <c r="G245" s="12">
        <f t="shared" si="35"/>
        <v>0</v>
      </c>
      <c r="H245" s="12">
        <f t="shared" si="35"/>
        <v>0</v>
      </c>
      <c r="I245" s="12">
        <f t="shared" si="35"/>
        <v>0</v>
      </c>
      <c r="J245" s="12">
        <f t="shared" si="35"/>
        <v>0</v>
      </c>
      <c r="K245" s="12">
        <f t="shared" si="35"/>
        <v>0</v>
      </c>
      <c r="L245" s="12">
        <f t="shared" si="35"/>
        <v>0</v>
      </c>
    </row>
    <row r="246" spans="1:12" ht="13.8" thickTop="1" x14ac:dyDescent="0.25"/>
    <row r="247" spans="1:12" x14ac:dyDescent="0.25">
      <c r="A247" s="29" t="str">
        <f>Grunddaten!B51</f>
        <v>Bank 8</v>
      </c>
      <c r="B247" s="30"/>
      <c r="C247" s="30"/>
      <c r="D247" s="30"/>
      <c r="E247" s="8" t="s">
        <v>1</v>
      </c>
      <c r="F247" s="15">
        <f>+Grunddaten!D51</f>
        <v>0</v>
      </c>
      <c r="G247" s="7"/>
      <c r="H247" s="7"/>
    </row>
    <row r="248" spans="1:12" x14ac:dyDescent="0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D249" s="8" t="s">
        <v>12</v>
      </c>
      <c r="E249" s="9"/>
      <c r="F249" s="4">
        <f t="shared" ref="F249:L249" si="36">+E279</f>
        <v>0</v>
      </c>
      <c r="G249" s="4">
        <f t="shared" si="36"/>
        <v>0</v>
      </c>
      <c r="H249" s="4">
        <f t="shared" si="36"/>
        <v>0</v>
      </c>
      <c r="I249" s="4">
        <f t="shared" si="36"/>
        <v>0</v>
      </c>
      <c r="J249" s="4">
        <f t="shared" si="36"/>
        <v>0</v>
      </c>
      <c r="K249" s="4">
        <f t="shared" si="36"/>
        <v>0</v>
      </c>
      <c r="L249" s="4">
        <f t="shared" si="36"/>
        <v>0</v>
      </c>
    </row>
    <row r="250" spans="1:12" x14ac:dyDescent="0.25">
      <c r="A250" s="25" t="s">
        <v>4</v>
      </c>
      <c r="E250" s="9"/>
      <c r="F250" s="9"/>
      <c r="G250" s="9"/>
      <c r="H250" s="9"/>
      <c r="I250" s="9"/>
      <c r="J250" s="9"/>
      <c r="K250" s="9"/>
      <c r="L250" s="9"/>
    </row>
    <row r="251" spans="1:12" x14ac:dyDescent="0.25">
      <c r="A251" s="25"/>
      <c r="E251" s="9"/>
      <c r="F251" s="9"/>
      <c r="G251" s="9"/>
      <c r="H251" s="9"/>
      <c r="I251" s="9"/>
      <c r="J251" s="9"/>
      <c r="K251" s="9"/>
      <c r="L251" s="9"/>
    </row>
    <row r="252" spans="1:12" x14ac:dyDescent="0.25">
      <c r="A252" s="25"/>
      <c r="E252" s="9"/>
      <c r="F252" s="9"/>
      <c r="G252" s="9"/>
      <c r="H252" s="9"/>
      <c r="I252" s="9"/>
      <c r="J252" s="9"/>
      <c r="K252" s="9"/>
      <c r="L252" s="9"/>
    </row>
    <row r="253" spans="1:12" x14ac:dyDescent="0.25">
      <c r="A253" s="25"/>
      <c r="E253" s="9"/>
      <c r="F253" s="9"/>
      <c r="G253" s="9"/>
      <c r="H253" s="9"/>
      <c r="I253" s="9"/>
      <c r="J253" s="9"/>
      <c r="K253" s="9"/>
      <c r="L253" s="9"/>
    </row>
    <row r="254" spans="1:12" x14ac:dyDescent="0.25">
      <c r="A254" s="25"/>
      <c r="E254" s="9"/>
      <c r="F254" s="9"/>
      <c r="G254" s="9"/>
      <c r="H254" s="9"/>
      <c r="I254" s="9"/>
      <c r="J254" s="9"/>
      <c r="K254" s="9"/>
      <c r="L254" s="9"/>
    </row>
    <row r="255" spans="1:12" x14ac:dyDescent="0.25">
      <c r="A255" s="25"/>
      <c r="E255" s="9"/>
      <c r="F255" s="9"/>
      <c r="G255" s="9"/>
      <c r="H255" s="9"/>
      <c r="I255" s="9"/>
      <c r="J255" s="9"/>
      <c r="K255" s="9"/>
      <c r="L255" s="9"/>
    </row>
    <row r="256" spans="1:12" x14ac:dyDescent="0.25">
      <c r="E256" s="9"/>
      <c r="F256" s="9"/>
      <c r="G256" s="9"/>
      <c r="H256" s="9"/>
      <c r="I256" s="9"/>
      <c r="J256" s="9"/>
      <c r="K256" s="9"/>
      <c r="L256" s="9"/>
    </row>
    <row r="257" spans="1:12" x14ac:dyDescent="0.25">
      <c r="E257" s="9"/>
      <c r="F257" s="9"/>
      <c r="G257" s="9"/>
      <c r="H257" s="9"/>
      <c r="I257" s="9"/>
      <c r="J257" s="9"/>
      <c r="K257" s="9"/>
      <c r="L257" s="9"/>
    </row>
    <row r="258" spans="1:12" x14ac:dyDescent="0.25">
      <c r="E258" s="9"/>
      <c r="F258" s="9"/>
      <c r="G258" s="9"/>
      <c r="H258" s="9"/>
      <c r="I258" s="9"/>
      <c r="J258" s="9"/>
      <c r="K258" s="9"/>
      <c r="L258" s="9"/>
    </row>
    <row r="259" spans="1:12" x14ac:dyDescent="0.25">
      <c r="E259" s="9"/>
      <c r="F259" s="9"/>
      <c r="G259" s="9"/>
      <c r="H259" s="9"/>
      <c r="I259" s="9"/>
      <c r="J259" s="9"/>
      <c r="K259" s="9"/>
      <c r="L259" s="9"/>
    </row>
    <row r="260" spans="1:12" x14ac:dyDescent="0.25">
      <c r="B260" s="4" t="s">
        <v>8</v>
      </c>
      <c r="E260" s="9"/>
      <c r="F260" s="9"/>
      <c r="G260" s="9"/>
      <c r="H260" s="9"/>
      <c r="I260" s="9"/>
      <c r="J260" s="9"/>
      <c r="K260" s="9"/>
      <c r="L260" s="9"/>
    </row>
    <row r="261" spans="1:12" x14ac:dyDescent="0.25">
      <c r="D261" s="10" t="s">
        <v>5</v>
      </c>
      <c r="E261" s="11">
        <f t="shared" ref="E261:L261" si="37">SUM(E250:E260)</f>
        <v>0</v>
      </c>
      <c r="F261" s="11">
        <f t="shared" si="37"/>
        <v>0</v>
      </c>
      <c r="G261" s="11">
        <f t="shared" si="37"/>
        <v>0</v>
      </c>
      <c r="H261" s="11">
        <f t="shared" si="37"/>
        <v>0</v>
      </c>
      <c r="I261" s="11">
        <f t="shared" si="37"/>
        <v>0</v>
      </c>
      <c r="J261" s="11">
        <f t="shared" si="37"/>
        <v>0</v>
      </c>
      <c r="K261" s="11">
        <f t="shared" si="37"/>
        <v>0</v>
      </c>
      <c r="L261" s="11">
        <f t="shared" si="37"/>
        <v>0</v>
      </c>
    </row>
    <row r="262" spans="1:12" x14ac:dyDescent="0.25">
      <c r="A262" s="25" t="s">
        <v>6</v>
      </c>
    </row>
    <row r="263" spans="1:12" x14ac:dyDescent="0.25">
      <c r="E263" s="9"/>
      <c r="F263" s="9"/>
      <c r="G263" s="9"/>
      <c r="H263" s="9"/>
      <c r="I263" s="9"/>
      <c r="J263" s="9"/>
      <c r="K263" s="9"/>
      <c r="L263" s="9"/>
    </row>
    <row r="264" spans="1:12" x14ac:dyDescent="0.25">
      <c r="E264" s="9"/>
      <c r="F264" s="9"/>
      <c r="G264" s="9"/>
      <c r="H264" s="9"/>
      <c r="I264" s="9"/>
      <c r="J264" s="9"/>
      <c r="K264" s="9"/>
      <c r="L264" s="9"/>
    </row>
    <row r="265" spans="1:12" x14ac:dyDescent="0.25">
      <c r="E265" s="9"/>
      <c r="F265" s="9"/>
      <c r="G265" s="9"/>
      <c r="H265" s="9"/>
      <c r="I265" s="9"/>
      <c r="J265" s="9"/>
      <c r="K265" s="9"/>
      <c r="L265" s="9"/>
    </row>
    <row r="266" spans="1:12" x14ac:dyDescent="0.25"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E268" s="9"/>
      <c r="F268" s="9"/>
      <c r="G268" s="9"/>
      <c r="H268" s="9"/>
      <c r="I268" s="9"/>
      <c r="J268" s="9"/>
      <c r="K268" s="9"/>
      <c r="L268" s="9"/>
    </row>
    <row r="269" spans="1:12" x14ac:dyDescent="0.25">
      <c r="E269" s="9"/>
      <c r="F269" s="9"/>
      <c r="G269" s="9"/>
      <c r="H269" s="9"/>
      <c r="I269" s="9"/>
      <c r="J269" s="9"/>
      <c r="K269" s="9"/>
      <c r="L269" s="9"/>
    </row>
    <row r="270" spans="1:12" x14ac:dyDescent="0.25">
      <c r="E270" s="9"/>
      <c r="F270" s="9"/>
      <c r="G270" s="9"/>
      <c r="H270" s="9"/>
      <c r="I270" s="9"/>
      <c r="J270" s="9"/>
      <c r="K270" s="9"/>
      <c r="L270" s="9"/>
    </row>
    <row r="271" spans="1:12" x14ac:dyDescent="0.25">
      <c r="E271" s="9"/>
      <c r="F271" s="9"/>
      <c r="G271" s="9"/>
      <c r="H271" s="9"/>
      <c r="I271" s="9"/>
      <c r="J271" s="9"/>
      <c r="K271" s="9"/>
      <c r="L271" s="9"/>
    </row>
    <row r="272" spans="1:12" x14ac:dyDescent="0.25">
      <c r="E272" s="9"/>
      <c r="F272" s="9"/>
      <c r="G272" s="9"/>
      <c r="H272" s="9"/>
      <c r="I272" s="9"/>
      <c r="J272" s="9"/>
      <c r="K272" s="9"/>
      <c r="L272" s="9"/>
    </row>
    <row r="273" spans="2:12" x14ac:dyDescent="0.25">
      <c r="E273" s="9"/>
      <c r="F273" s="9"/>
      <c r="G273" s="9"/>
      <c r="H273" s="9"/>
      <c r="I273" s="9"/>
      <c r="J273" s="9"/>
      <c r="K273" s="9"/>
      <c r="L273" s="9"/>
    </row>
    <row r="274" spans="2:12" x14ac:dyDescent="0.25">
      <c r="E274" s="9"/>
      <c r="F274" s="9"/>
      <c r="G274" s="9"/>
      <c r="H274" s="9"/>
      <c r="I274" s="9"/>
      <c r="J274" s="9"/>
      <c r="K274" s="9"/>
      <c r="L274" s="9"/>
    </row>
    <row r="275" spans="2:12" x14ac:dyDescent="0.25">
      <c r="E275" s="9"/>
      <c r="F275" s="9"/>
      <c r="G275" s="9"/>
      <c r="H275" s="9"/>
      <c r="I275" s="9"/>
      <c r="J275" s="9"/>
      <c r="K275" s="9"/>
      <c r="L275" s="9"/>
    </row>
    <row r="276" spans="2:12" x14ac:dyDescent="0.25">
      <c r="B276" s="4" t="s">
        <v>8</v>
      </c>
      <c r="E276" s="9"/>
      <c r="F276" s="9"/>
      <c r="G276" s="9"/>
      <c r="H276" s="9"/>
      <c r="I276" s="9"/>
      <c r="J276" s="9"/>
      <c r="K276" s="9"/>
      <c r="L276" s="9"/>
    </row>
    <row r="277" spans="2:12" x14ac:dyDescent="0.25">
      <c r="D277" s="10" t="s">
        <v>7</v>
      </c>
      <c r="E277" s="11">
        <f t="shared" ref="E277:L277" si="38">SUM(E263:E276)</f>
        <v>0</v>
      </c>
      <c r="F277" s="11">
        <f t="shared" si="38"/>
        <v>0</v>
      </c>
      <c r="G277" s="11">
        <f t="shared" si="38"/>
        <v>0</v>
      </c>
      <c r="H277" s="11">
        <f t="shared" si="38"/>
        <v>0</v>
      </c>
      <c r="I277" s="11">
        <f t="shared" si="38"/>
        <v>0</v>
      </c>
      <c r="J277" s="11">
        <f t="shared" si="38"/>
        <v>0</v>
      </c>
      <c r="K277" s="11">
        <f t="shared" si="38"/>
        <v>0</v>
      </c>
      <c r="L277" s="11">
        <f t="shared" si="38"/>
        <v>0</v>
      </c>
    </row>
    <row r="278" spans="2:12" x14ac:dyDescent="0.25">
      <c r="D278" s="8" t="s">
        <v>9</v>
      </c>
      <c r="E278" s="4">
        <f t="shared" ref="E278:L278" si="39">+E261-E277</f>
        <v>0</v>
      </c>
      <c r="F278" s="4">
        <f t="shared" si="39"/>
        <v>0</v>
      </c>
      <c r="G278" s="4">
        <f t="shared" si="39"/>
        <v>0</v>
      </c>
      <c r="H278" s="4">
        <f t="shared" si="39"/>
        <v>0</v>
      </c>
      <c r="I278" s="4">
        <f t="shared" si="39"/>
        <v>0</v>
      </c>
      <c r="J278" s="4">
        <f t="shared" si="39"/>
        <v>0</v>
      </c>
      <c r="K278" s="4">
        <f t="shared" si="39"/>
        <v>0</v>
      </c>
      <c r="L278" s="4">
        <f t="shared" si="39"/>
        <v>0</v>
      </c>
    </row>
    <row r="279" spans="2:12" ht="13.8" thickBot="1" x14ac:dyDescent="0.3">
      <c r="D279" s="8" t="s">
        <v>10</v>
      </c>
      <c r="E279" s="12">
        <f t="shared" ref="E279:L279" si="40">+E249+E278</f>
        <v>0</v>
      </c>
      <c r="F279" s="12">
        <f t="shared" si="40"/>
        <v>0</v>
      </c>
      <c r="G279" s="12">
        <f t="shared" si="40"/>
        <v>0</v>
      </c>
      <c r="H279" s="12">
        <f t="shared" si="40"/>
        <v>0</v>
      </c>
      <c r="I279" s="12">
        <f t="shared" si="40"/>
        <v>0</v>
      </c>
      <c r="J279" s="12">
        <f t="shared" si="40"/>
        <v>0</v>
      </c>
      <c r="K279" s="12">
        <f t="shared" si="40"/>
        <v>0</v>
      </c>
      <c r="L279" s="12">
        <f t="shared" si="40"/>
        <v>0</v>
      </c>
    </row>
    <row r="280" spans="2:12" ht="13.8" thickTop="1" x14ac:dyDescent="0.25"/>
    <row r="281" spans="2:12" x14ac:dyDescent="0.25">
      <c r="D281" s="13" t="s">
        <v>14</v>
      </c>
      <c r="E281" s="4">
        <f t="shared" ref="E281:L281" si="41">E21-E38+E55-E72+E90-E106+E124-E140+E158-E174+E192-E208+E226-E242+E260-E276</f>
        <v>0</v>
      </c>
      <c r="F281" s="4">
        <f t="shared" si="41"/>
        <v>0</v>
      </c>
      <c r="G281" s="4">
        <f t="shared" si="41"/>
        <v>0</v>
      </c>
      <c r="H281" s="4">
        <f t="shared" si="41"/>
        <v>0</v>
      </c>
      <c r="I281" s="4">
        <f t="shared" si="41"/>
        <v>0</v>
      </c>
      <c r="J281" s="4">
        <f t="shared" si="41"/>
        <v>0</v>
      </c>
      <c r="K281" s="4">
        <f t="shared" si="41"/>
        <v>0</v>
      </c>
      <c r="L281" s="4">
        <f t="shared" si="41"/>
        <v>0</v>
      </c>
    </row>
    <row r="282" spans="2:12" x14ac:dyDescent="0.25">
      <c r="D282" s="14"/>
      <c r="E282" s="5" t="str">
        <f t="shared" ref="E282:L282" si="42">IF(E281=0,"i.O.","Fehler")</f>
        <v>i.O.</v>
      </c>
      <c r="F282" s="5" t="str">
        <f t="shared" si="42"/>
        <v>i.O.</v>
      </c>
      <c r="G282" s="5" t="str">
        <f t="shared" si="42"/>
        <v>i.O.</v>
      </c>
      <c r="H282" s="5" t="str">
        <f t="shared" si="42"/>
        <v>i.O.</v>
      </c>
      <c r="I282" s="5" t="str">
        <f t="shared" si="42"/>
        <v>i.O.</v>
      </c>
      <c r="J282" s="5" t="str">
        <f t="shared" si="42"/>
        <v>i.O.</v>
      </c>
      <c r="K282" s="5" t="str">
        <f t="shared" si="42"/>
        <v>i.O.</v>
      </c>
      <c r="L282" s="5" t="str">
        <f t="shared" si="42"/>
        <v>i.O.</v>
      </c>
    </row>
  </sheetData>
  <mergeCells count="4">
    <mergeCell ref="A43:D43"/>
    <mergeCell ref="A179:D179"/>
    <mergeCell ref="A213:D213"/>
    <mergeCell ref="A247:D247"/>
  </mergeCells>
  <phoneticPr fontId="0" type="noConversion"/>
  <pageMargins left="0.78740157499999996" right="0.78740157499999996" top="0.42" bottom="0.57999999999999996" header="0.27" footer="0.34"/>
  <pageSetup paperSize="9" fitToHeight="0" orientation="landscape" r:id="rId1"/>
  <headerFooter alignWithMargins="0">
    <oddFooter>&amp;L&amp;F &amp;A&amp;R&amp;D &amp;T</oddFooter>
  </headerFooter>
  <rowBreaks count="1" manualBreakCount="1">
    <brk id="41" min="4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E59E-87F8-4FC3-9698-D3D15499B034}">
  <sheetPr codeName="Tabelle6">
    <pageSetUpPr fitToPage="1"/>
  </sheetPr>
  <dimension ref="A1:L316"/>
  <sheetViews>
    <sheetView zoomScale="80" zoomScaleNormal="80" workbookViewId="0">
      <pane xSplit="4" ySplit="7" topLeftCell="E8" activePane="bottomRight" state="frozen"/>
      <selection activeCell="E5" sqref="E5:AD5"/>
      <selection pane="topRight" activeCell="E5" sqref="E5:AD5"/>
      <selection pane="bottomLeft" activeCell="E5" sqref="E5:AD5"/>
      <selection pane="bottomRight" activeCell="B11" sqref="B11"/>
    </sheetView>
  </sheetViews>
  <sheetFormatPr baseColWidth="10" defaultColWidth="11.44140625" defaultRowHeight="13.2" x14ac:dyDescent="0.25"/>
  <cols>
    <col min="1" max="1" width="2.88671875" style="16" customWidth="1"/>
    <col min="2" max="3" width="2.88671875" style="4" customWidth="1"/>
    <col min="4" max="4" width="20.88671875" style="4" customWidth="1"/>
    <col min="5" max="5" width="11.44140625" style="4"/>
    <col min="6" max="6" width="11.88671875" style="4" customWidth="1"/>
    <col min="7" max="16384" width="11.44140625" style="4"/>
  </cols>
  <sheetData>
    <row r="1" spans="1:12" ht="17.399999999999999" x14ac:dyDescent="0.3">
      <c r="A1" s="20" t="s">
        <v>139</v>
      </c>
      <c r="B1" s="3"/>
      <c r="C1" s="3"/>
      <c r="D1" s="3"/>
      <c r="E1" s="3"/>
      <c r="F1" s="3"/>
      <c r="G1" s="3"/>
      <c r="I1" s="4" t="s">
        <v>29</v>
      </c>
    </row>
    <row r="2" spans="1:12" x14ac:dyDescent="0.25">
      <c r="J2" s="4" t="s">
        <v>30</v>
      </c>
      <c r="K2" s="4" t="s">
        <v>31</v>
      </c>
    </row>
    <row r="3" spans="1:12" ht="15.6" x14ac:dyDescent="0.3">
      <c r="A3" s="21" t="s">
        <v>0</v>
      </c>
    </row>
    <row r="4" spans="1:12" x14ac:dyDescent="0.25">
      <c r="A4" s="22" t="s">
        <v>11</v>
      </c>
    </row>
    <row r="5" spans="1:12" x14ac:dyDescent="0.25">
      <c r="E5" s="5" t="s">
        <v>39</v>
      </c>
      <c r="F5" s="5" t="s">
        <v>13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</row>
    <row r="6" spans="1:12" s="1" customFormat="1" x14ac:dyDescent="0.25">
      <c r="A6" s="23"/>
      <c r="E6" s="1">
        <v>45870</v>
      </c>
      <c r="F6" s="1">
        <f t="shared" ref="F6:L6" si="0">+E6+1</f>
        <v>45871</v>
      </c>
      <c r="G6" s="1">
        <f t="shared" si="0"/>
        <v>45872</v>
      </c>
      <c r="H6" s="1">
        <f t="shared" si="0"/>
        <v>45873</v>
      </c>
      <c r="I6" s="1">
        <f t="shared" si="0"/>
        <v>45874</v>
      </c>
      <c r="J6" s="1">
        <f t="shared" si="0"/>
        <v>45875</v>
      </c>
      <c r="K6" s="1">
        <f t="shared" si="0"/>
        <v>45876</v>
      </c>
      <c r="L6" s="1">
        <f t="shared" si="0"/>
        <v>45877</v>
      </c>
    </row>
    <row r="7" spans="1:12" s="5" customFormat="1" x14ac:dyDescent="0.25">
      <c r="A7" s="24"/>
      <c r="B7" s="6"/>
      <c r="C7" s="6"/>
      <c r="D7" s="6" t="s">
        <v>2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</row>
    <row r="8" spans="1:12" x14ac:dyDescent="0.25">
      <c r="A8" s="17" t="str">
        <f>+Grunddaten!B56</f>
        <v>Bank 1</v>
      </c>
      <c r="B8" s="18"/>
      <c r="C8" s="18"/>
      <c r="D8" s="18"/>
      <c r="E8" s="8" t="s">
        <v>1</v>
      </c>
      <c r="F8" s="15">
        <f>+Grunddaten!D56</f>
        <v>0</v>
      </c>
      <c r="G8" s="7"/>
    </row>
    <row r="9" spans="1:12" s="5" customFormat="1" x14ac:dyDescent="0.25">
      <c r="A9" s="23"/>
    </row>
    <row r="10" spans="1:12" x14ac:dyDescent="0.25">
      <c r="D10" s="8" t="s">
        <v>12</v>
      </c>
      <c r="E10" s="4">
        <v>-457.9</v>
      </c>
      <c r="F10" s="4">
        <f t="shared" ref="F10:L10" si="1">+E41</f>
        <v>-444.5</v>
      </c>
      <c r="G10" s="4">
        <f t="shared" si="1"/>
        <v>-444.1</v>
      </c>
      <c r="H10" s="4">
        <f t="shared" si="1"/>
        <v>-444.1</v>
      </c>
      <c r="I10" s="4">
        <f t="shared" si="1"/>
        <v>-442.6</v>
      </c>
      <c r="J10" s="4">
        <f t="shared" si="1"/>
        <v>-439.6</v>
      </c>
      <c r="K10" s="4">
        <f t="shared" si="1"/>
        <v>-439.6</v>
      </c>
      <c r="L10" s="4">
        <f t="shared" si="1"/>
        <v>-439.6</v>
      </c>
    </row>
    <row r="11" spans="1:12" x14ac:dyDescent="0.25">
      <c r="A11" s="25" t="s">
        <v>4</v>
      </c>
      <c r="E11" s="9"/>
      <c r="F11" s="9"/>
      <c r="G11" s="9"/>
      <c r="H11" s="9"/>
      <c r="I11" s="9"/>
      <c r="J11" s="9"/>
      <c r="K11" s="9"/>
      <c r="L11" s="9"/>
    </row>
    <row r="12" spans="1:12" x14ac:dyDescent="0.25">
      <c r="E12" s="9"/>
      <c r="F12" s="9"/>
      <c r="G12" s="9"/>
      <c r="H12" s="9"/>
      <c r="I12" s="9"/>
      <c r="J12" s="9"/>
      <c r="K12" s="9"/>
      <c r="L12" s="9"/>
    </row>
    <row r="13" spans="1:12" x14ac:dyDescent="0.25">
      <c r="B13" s="4" t="s">
        <v>150</v>
      </c>
      <c r="E13" s="9"/>
      <c r="F13" s="9"/>
      <c r="G13" s="9"/>
      <c r="H13" s="9"/>
      <c r="I13" s="9"/>
      <c r="J13" s="9"/>
      <c r="K13" s="9"/>
      <c r="L13" s="9"/>
    </row>
    <row r="14" spans="1:12" x14ac:dyDescent="0.25">
      <c r="B14" s="4" t="s">
        <v>40</v>
      </c>
      <c r="E14" s="9">
        <v>3.6</v>
      </c>
      <c r="F14" s="9">
        <v>0.4</v>
      </c>
      <c r="G14" s="9">
        <v>2.2999999999999998</v>
      </c>
      <c r="H14" s="9">
        <v>2</v>
      </c>
      <c r="I14" s="9">
        <v>3</v>
      </c>
      <c r="J14" s="9"/>
      <c r="K14" s="9"/>
      <c r="L14" s="9">
        <v>4.4000000000000004</v>
      </c>
    </row>
    <row r="15" spans="1:12" x14ac:dyDescent="0.25">
      <c r="B15" s="4" t="s">
        <v>150</v>
      </c>
      <c r="E15" s="9">
        <v>9.8000000000000007</v>
      </c>
      <c r="F15" s="9"/>
      <c r="G15" s="9"/>
      <c r="H15" s="9"/>
      <c r="I15" s="9"/>
      <c r="J15" s="9"/>
      <c r="K15" s="9"/>
      <c r="L15" s="9"/>
    </row>
    <row r="16" spans="1:12" x14ac:dyDescent="0.25">
      <c r="B16" s="4" t="s">
        <v>111</v>
      </c>
      <c r="E16" s="9"/>
      <c r="F16" s="9"/>
      <c r="G16" s="9"/>
      <c r="H16" s="9"/>
      <c r="I16" s="9"/>
      <c r="J16" s="9"/>
      <c r="K16" s="9"/>
      <c r="L16" s="9"/>
    </row>
    <row r="17" spans="1:12" x14ac:dyDescent="0.25">
      <c r="B17" s="4" t="s">
        <v>150</v>
      </c>
      <c r="E17" s="9"/>
      <c r="F17" s="9"/>
      <c r="G17" s="9"/>
      <c r="H17" s="9"/>
      <c r="I17" s="9"/>
      <c r="J17" s="9"/>
      <c r="K17" s="9"/>
      <c r="L17" s="9"/>
    </row>
    <row r="18" spans="1:12" x14ac:dyDescent="0.25">
      <c r="B18" s="4" t="s">
        <v>150</v>
      </c>
      <c r="E18" s="9"/>
      <c r="F18" s="9"/>
      <c r="G18" s="9"/>
      <c r="H18" s="9"/>
      <c r="I18" s="9"/>
      <c r="J18" s="9"/>
      <c r="K18" s="9"/>
      <c r="L18" s="9"/>
    </row>
    <row r="19" spans="1:12" x14ac:dyDescent="0.25">
      <c r="E19" s="9"/>
      <c r="F19" s="9"/>
      <c r="G19" s="9"/>
      <c r="H19" s="9"/>
      <c r="I19" s="9"/>
      <c r="J19" s="9"/>
      <c r="K19" s="9"/>
      <c r="L19" s="9"/>
    </row>
    <row r="20" spans="1:12" x14ac:dyDescent="0.25">
      <c r="E20" s="9"/>
      <c r="F20" s="9"/>
      <c r="G20" s="9"/>
      <c r="H20" s="9"/>
      <c r="I20" s="9"/>
      <c r="J20" s="9"/>
      <c r="K20" s="9"/>
      <c r="L20" s="9"/>
    </row>
    <row r="21" spans="1:12" x14ac:dyDescent="0.25">
      <c r="B21" s="4" t="s">
        <v>8</v>
      </c>
      <c r="E21" s="9"/>
      <c r="F21" s="9"/>
      <c r="G21" s="9"/>
      <c r="H21" s="9"/>
      <c r="I21" s="9"/>
      <c r="J21" s="9"/>
      <c r="K21" s="9"/>
      <c r="L21" s="9"/>
    </row>
    <row r="22" spans="1:12" x14ac:dyDescent="0.25">
      <c r="D22" s="10" t="s">
        <v>5</v>
      </c>
      <c r="E22" s="11">
        <f>SUM(E11:E21)</f>
        <v>13.4</v>
      </c>
      <c r="F22" s="11">
        <f t="shared" ref="F22:L22" si="2">SUM(F11:F21)</f>
        <v>0.4</v>
      </c>
      <c r="G22" s="11">
        <f t="shared" si="2"/>
        <v>2.2999999999999998</v>
      </c>
      <c r="H22" s="11">
        <f t="shared" si="2"/>
        <v>2</v>
      </c>
      <c r="I22" s="11">
        <f t="shared" si="2"/>
        <v>3</v>
      </c>
      <c r="J22" s="11">
        <f t="shared" si="2"/>
        <v>0</v>
      </c>
      <c r="K22" s="11">
        <f t="shared" si="2"/>
        <v>0</v>
      </c>
      <c r="L22" s="11">
        <f t="shared" si="2"/>
        <v>4.4000000000000004</v>
      </c>
    </row>
    <row r="23" spans="1:12" x14ac:dyDescent="0.25">
      <c r="A23" s="25" t="s">
        <v>6</v>
      </c>
    </row>
    <row r="24" spans="1:12" x14ac:dyDescent="0.25">
      <c r="E24" s="9"/>
      <c r="F24" s="9"/>
      <c r="G24" s="9"/>
      <c r="H24" s="9"/>
      <c r="I24" s="9"/>
      <c r="J24" s="9"/>
      <c r="K24" s="9"/>
      <c r="L24" s="9"/>
    </row>
    <row r="25" spans="1:12" x14ac:dyDescent="0.25">
      <c r="B25" s="4" t="s">
        <v>41</v>
      </c>
      <c r="E25" s="9"/>
      <c r="F25" s="9"/>
      <c r="G25" s="9">
        <v>2.2999999999999998</v>
      </c>
      <c r="H25" s="9">
        <v>0.5</v>
      </c>
      <c r="I25" s="9"/>
      <c r="J25" s="9"/>
      <c r="K25" s="9"/>
      <c r="L25" s="9"/>
    </row>
    <row r="26" spans="1:12" x14ac:dyDescent="0.25">
      <c r="B26" s="4" t="s">
        <v>42</v>
      </c>
      <c r="E26" s="9"/>
      <c r="F26" s="9"/>
      <c r="G26" s="9"/>
      <c r="H26" s="9"/>
      <c r="I26" s="9"/>
      <c r="J26" s="9"/>
      <c r="K26" s="9"/>
      <c r="L26" s="9"/>
    </row>
    <row r="27" spans="1:12" x14ac:dyDescent="0.25">
      <c r="B27" s="4" t="s">
        <v>8</v>
      </c>
      <c r="E27" s="9"/>
      <c r="F27" s="9"/>
      <c r="G27" s="9"/>
      <c r="H27" s="9"/>
      <c r="I27" s="9"/>
      <c r="J27" s="9"/>
      <c r="K27" s="9"/>
      <c r="L27" s="9"/>
    </row>
    <row r="28" spans="1:12" x14ac:dyDescent="0.25">
      <c r="B28" s="4" t="s">
        <v>97</v>
      </c>
      <c r="E28" s="9"/>
      <c r="F28" s="9"/>
      <c r="G28" s="9"/>
      <c r="H28" s="9"/>
      <c r="I28" s="9"/>
      <c r="J28" s="9"/>
      <c r="K28" s="9"/>
      <c r="L28" s="9">
        <v>6.8</v>
      </c>
    </row>
    <row r="29" spans="1:12" x14ac:dyDescent="0.25">
      <c r="B29" s="4" t="s">
        <v>151</v>
      </c>
      <c r="E29" s="9"/>
      <c r="F29" s="9"/>
      <c r="G29" s="9"/>
      <c r="H29" s="9"/>
      <c r="I29" s="9"/>
      <c r="J29" s="9"/>
      <c r="K29" s="9"/>
      <c r="L29" s="9"/>
    </row>
    <row r="30" spans="1:12" x14ac:dyDescent="0.25">
      <c r="B30" s="4" t="s">
        <v>150</v>
      </c>
      <c r="E30" s="9"/>
      <c r="F30" s="9"/>
      <c r="G30" s="9"/>
      <c r="H30" s="9"/>
      <c r="I30" s="9"/>
      <c r="J30" s="9"/>
      <c r="K30" s="9"/>
      <c r="L30" s="9"/>
    </row>
    <row r="31" spans="1:12" x14ac:dyDescent="0.25">
      <c r="B31" s="4" t="s">
        <v>112</v>
      </c>
      <c r="E31" s="9"/>
      <c r="F31" s="9"/>
      <c r="G31" s="9"/>
      <c r="H31" s="9"/>
      <c r="I31" s="9"/>
      <c r="J31" s="9"/>
      <c r="K31" s="9"/>
      <c r="L31" s="9"/>
    </row>
    <row r="32" spans="1:12" x14ac:dyDescent="0.25">
      <c r="B32" s="4" t="s">
        <v>122</v>
      </c>
      <c r="E32" s="9"/>
      <c r="F32" s="9"/>
      <c r="G32" s="9"/>
      <c r="H32" s="9"/>
      <c r="I32" s="9"/>
      <c r="J32" s="9"/>
      <c r="K32" s="9"/>
      <c r="L32" s="9"/>
    </row>
    <row r="33" spans="1:12" x14ac:dyDescent="0.25">
      <c r="B33" s="4" t="s">
        <v>47</v>
      </c>
      <c r="E33" s="9"/>
      <c r="F33" s="9"/>
      <c r="G33" s="9"/>
      <c r="H33" s="9"/>
      <c r="I33" s="9"/>
      <c r="J33" s="9"/>
      <c r="K33" s="9"/>
      <c r="L33" s="9"/>
    </row>
    <row r="34" spans="1:12" x14ac:dyDescent="0.25">
      <c r="E34" s="9"/>
      <c r="F34" s="9"/>
      <c r="G34" s="9"/>
      <c r="H34" s="9"/>
      <c r="I34" s="9"/>
      <c r="J34" s="9"/>
      <c r="K34" s="9"/>
      <c r="L34" s="9"/>
    </row>
    <row r="35" spans="1:12" x14ac:dyDescent="0.25">
      <c r="E35" s="9"/>
      <c r="F35" s="9"/>
      <c r="G35" s="9"/>
      <c r="H35" s="9"/>
      <c r="I35" s="9"/>
      <c r="J35" s="9"/>
      <c r="K35" s="9"/>
      <c r="L35" s="9"/>
    </row>
    <row r="36" spans="1:12" x14ac:dyDescent="0.25">
      <c r="E36" s="9"/>
      <c r="F36" s="9"/>
      <c r="G36" s="9"/>
      <c r="H36" s="9"/>
      <c r="I36" s="9"/>
      <c r="J36" s="9"/>
      <c r="K36" s="9"/>
      <c r="L36" s="9"/>
    </row>
    <row r="37" spans="1:12" x14ac:dyDescent="0.25">
      <c r="E37" s="9"/>
      <c r="F37" s="9"/>
      <c r="G37" s="9"/>
      <c r="H37" s="9"/>
      <c r="I37" s="9"/>
      <c r="J37" s="9"/>
      <c r="K37" s="9"/>
      <c r="L37" s="9"/>
    </row>
    <row r="38" spans="1:12" x14ac:dyDescent="0.25">
      <c r="E38" s="9"/>
      <c r="F38" s="9"/>
      <c r="G38" s="9"/>
      <c r="H38" s="9"/>
      <c r="I38" s="9"/>
      <c r="J38" s="9"/>
      <c r="K38" s="9"/>
      <c r="L38" s="9"/>
    </row>
    <row r="39" spans="1:12" x14ac:dyDescent="0.25">
      <c r="D39" s="10" t="s">
        <v>7</v>
      </c>
      <c r="E39" s="11">
        <f t="shared" ref="E39:L39" si="3">SUM(E24:E38)</f>
        <v>0</v>
      </c>
      <c r="F39" s="11">
        <f t="shared" si="3"/>
        <v>0</v>
      </c>
      <c r="G39" s="11">
        <f t="shared" si="3"/>
        <v>2.2999999999999998</v>
      </c>
      <c r="H39" s="11">
        <f t="shared" si="3"/>
        <v>0.5</v>
      </c>
      <c r="I39" s="11">
        <f t="shared" si="3"/>
        <v>0</v>
      </c>
      <c r="J39" s="11">
        <f t="shared" si="3"/>
        <v>0</v>
      </c>
      <c r="K39" s="11">
        <f t="shared" si="3"/>
        <v>0</v>
      </c>
      <c r="L39" s="11">
        <f t="shared" si="3"/>
        <v>6.8</v>
      </c>
    </row>
    <row r="40" spans="1:12" x14ac:dyDescent="0.25">
      <c r="D40" s="8" t="s">
        <v>9</v>
      </c>
      <c r="E40" s="4">
        <f>+E22-E39</f>
        <v>13.4</v>
      </c>
      <c r="F40" s="4">
        <f t="shared" ref="F40:L40" si="4">+F22-F39</f>
        <v>0.4</v>
      </c>
      <c r="G40" s="4">
        <f t="shared" si="4"/>
        <v>0</v>
      </c>
      <c r="H40" s="4">
        <f t="shared" si="4"/>
        <v>1.5</v>
      </c>
      <c r="I40" s="4">
        <f t="shared" si="4"/>
        <v>3</v>
      </c>
      <c r="J40" s="4">
        <f t="shared" si="4"/>
        <v>0</v>
      </c>
      <c r="K40" s="4">
        <f t="shared" si="4"/>
        <v>0</v>
      </c>
      <c r="L40" s="4">
        <f t="shared" si="4"/>
        <v>-2.3999999999999995</v>
      </c>
    </row>
    <row r="41" spans="1:12" ht="13.8" thickBot="1" x14ac:dyDescent="0.3">
      <c r="D41" s="8" t="s">
        <v>10</v>
      </c>
      <c r="E41" s="12">
        <f>+E10+E40</f>
        <v>-444.5</v>
      </c>
      <c r="F41" s="12">
        <f t="shared" ref="F41:L41" si="5">+F10+F40</f>
        <v>-444.1</v>
      </c>
      <c r="G41" s="12">
        <f t="shared" si="5"/>
        <v>-444.1</v>
      </c>
      <c r="H41" s="12">
        <f t="shared" si="5"/>
        <v>-442.6</v>
      </c>
      <c r="I41" s="12">
        <f t="shared" si="5"/>
        <v>-439.6</v>
      </c>
      <c r="J41" s="12">
        <f t="shared" si="5"/>
        <v>-439.6</v>
      </c>
      <c r="K41" s="12">
        <f t="shared" si="5"/>
        <v>-439.6</v>
      </c>
      <c r="L41" s="12">
        <f t="shared" si="5"/>
        <v>-442</v>
      </c>
    </row>
    <row r="42" spans="1:12" ht="8.25" customHeight="1" thickTop="1" x14ac:dyDescent="0.25"/>
    <row r="43" spans="1:12" x14ac:dyDescent="0.25">
      <c r="A43" s="29" t="str">
        <f>+Grunddaten!B57</f>
        <v>Bank 2</v>
      </c>
      <c r="B43" s="29"/>
      <c r="C43" s="29"/>
      <c r="D43" s="29"/>
      <c r="E43" s="8" t="s">
        <v>1</v>
      </c>
      <c r="F43" s="15">
        <f>+Grunddaten!D57</f>
        <v>0</v>
      </c>
      <c r="H43" s="7"/>
    </row>
    <row r="44" spans="1:12" x14ac:dyDescent="0.25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25">
      <c r="D45" s="8" t="s">
        <v>12</v>
      </c>
      <c r="E45" s="9"/>
      <c r="F45" s="4">
        <f>E75</f>
        <v>0</v>
      </c>
      <c r="G45" s="4">
        <f t="shared" ref="G45:L45" si="6">F75</f>
        <v>0</v>
      </c>
      <c r="H45" s="4">
        <f t="shared" si="6"/>
        <v>0</v>
      </c>
      <c r="I45" s="4">
        <f t="shared" si="6"/>
        <v>0</v>
      </c>
      <c r="J45" s="4">
        <f t="shared" si="6"/>
        <v>0</v>
      </c>
      <c r="K45" s="4">
        <f t="shared" si="6"/>
        <v>0</v>
      </c>
      <c r="L45" s="4">
        <f t="shared" si="6"/>
        <v>0</v>
      </c>
    </row>
    <row r="46" spans="1:12" x14ac:dyDescent="0.25">
      <c r="A46" s="25" t="s">
        <v>4</v>
      </c>
      <c r="E46" s="9"/>
      <c r="F46" s="9"/>
      <c r="G46" s="9"/>
      <c r="H46" s="9"/>
      <c r="I46" s="9"/>
      <c r="J46" s="9"/>
      <c r="K46" s="9"/>
      <c r="L46" s="9"/>
    </row>
    <row r="47" spans="1:12" x14ac:dyDescent="0.25">
      <c r="E47" s="9"/>
      <c r="F47" s="9"/>
      <c r="G47" s="9"/>
      <c r="H47" s="9"/>
      <c r="I47" s="9"/>
      <c r="J47" s="9"/>
      <c r="K47" s="9"/>
      <c r="L47" s="9"/>
    </row>
    <row r="48" spans="1:12" x14ac:dyDescent="0.25">
      <c r="E48" s="9"/>
      <c r="F48" s="9"/>
      <c r="G48" s="9"/>
      <c r="H48" s="9"/>
      <c r="I48" s="9"/>
      <c r="J48" s="9"/>
      <c r="K48" s="9"/>
      <c r="L48" s="9"/>
    </row>
    <row r="49" spans="1:12" x14ac:dyDescent="0.25">
      <c r="E49" s="9"/>
      <c r="F49" s="9"/>
      <c r="G49" s="9"/>
      <c r="H49" s="9"/>
      <c r="I49" s="9"/>
      <c r="J49" s="9"/>
      <c r="K49" s="9"/>
      <c r="L49" s="9"/>
    </row>
    <row r="50" spans="1:12" x14ac:dyDescent="0.25">
      <c r="E50" s="9"/>
      <c r="F50" s="9"/>
      <c r="G50" s="9"/>
      <c r="H50" s="9"/>
      <c r="I50" s="9"/>
      <c r="J50" s="9"/>
      <c r="K50" s="9"/>
      <c r="L50" s="9"/>
    </row>
    <row r="51" spans="1:12" x14ac:dyDescent="0.25">
      <c r="E51" s="9"/>
      <c r="F51" s="9"/>
      <c r="G51" s="9"/>
      <c r="H51" s="9"/>
      <c r="I51" s="9"/>
      <c r="J51" s="9"/>
      <c r="K51" s="9"/>
      <c r="L51" s="9"/>
    </row>
    <row r="52" spans="1:12" x14ac:dyDescent="0.25">
      <c r="E52" s="9"/>
      <c r="F52" s="9"/>
      <c r="G52" s="9"/>
      <c r="H52" s="9"/>
      <c r="I52" s="9"/>
      <c r="J52" s="9"/>
      <c r="K52" s="9"/>
      <c r="L52" s="9"/>
    </row>
    <row r="53" spans="1:12" x14ac:dyDescent="0.25">
      <c r="E53" s="9"/>
      <c r="F53" s="9"/>
      <c r="G53" s="9"/>
      <c r="H53" s="9"/>
      <c r="I53" s="9"/>
      <c r="J53" s="9"/>
      <c r="K53" s="9"/>
      <c r="L53" s="9"/>
    </row>
    <row r="54" spans="1:12" x14ac:dyDescent="0.25">
      <c r="E54" s="9"/>
      <c r="F54" s="9"/>
      <c r="G54" s="9"/>
      <c r="H54" s="9"/>
      <c r="I54" s="9"/>
      <c r="J54" s="9"/>
      <c r="K54" s="9"/>
      <c r="L54" s="9"/>
    </row>
    <row r="55" spans="1:12" x14ac:dyDescent="0.25">
      <c r="B55" s="4" t="s">
        <v>8</v>
      </c>
      <c r="E55" s="9"/>
      <c r="F55" s="9"/>
      <c r="G55" s="9"/>
      <c r="H55" s="9"/>
      <c r="I55" s="9"/>
      <c r="J55" s="9"/>
      <c r="K55" s="9"/>
      <c r="L55" s="9"/>
    </row>
    <row r="56" spans="1:12" x14ac:dyDescent="0.25">
      <c r="D56" s="10" t="s">
        <v>5</v>
      </c>
      <c r="E56" s="11">
        <f t="shared" ref="E56:L56" si="7">SUM(E46:E55)</f>
        <v>0</v>
      </c>
      <c r="F56" s="11">
        <f t="shared" si="7"/>
        <v>0</v>
      </c>
      <c r="G56" s="11">
        <f t="shared" si="7"/>
        <v>0</v>
      </c>
      <c r="H56" s="11">
        <f t="shared" si="7"/>
        <v>0</v>
      </c>
      <c r="I56" s="11">
        <f t="shared" si="7"/>
        <v>0</v>
      </c>
      <c r="J56" s="11">
        <f t="shared" si="7"/>
        <v>0</v>
      </c>
      <c r="K56" s="11">
        <f t="shared" si="7"/>
        <v>0</v>
      </c>
      <c r="L56" s="11">
        <f t="shared" si="7"/>
        <v>0</v>
      </c>
    </row>
    <row r="57" spans="1:12" x14ac:dyDescent="0.25">
      <c r="A57" s="25" t="s">
        <v>6</v>
      </c>
    </row>
    <row r="58" spans="1:12" x14ac:dyDescent="0.25">
      <c r="E58" s="9"/>
      <c r="F58" s="9"/>
      <c r="G58" s="9"/>
      <c r="H58" s="9"/>
      <c r="I58" s="9"/>
      <c r="J58" s="9"/>
      <c r="K58" s="9"/>
      <c r="L58" s="9"/>
    </row>
    <row r="59" spans="1:12" x14ac:dyDescent="0.25">
      <c r="E59" s="9"/>
      <c r="F59" s="9"/>
      <c r="G59" s="9"/>
      <c r="H59" s="9"/>
      <c r="I59" s="9"/>
      <c r="J59" s="9"/>
      <c r="K59" s="9"/>
      <c r="L59" s="9"/>
    </row>
    <row r="60" spans="1:12" x14ac:dyDescent="0.25">
      <c r="E60" s="9"/>
      <c r="F60" s="9"/>
      <c r="G60" s="9"/>
      <c r="H60" s="9"/>
      <c r="I60" s="9"/>
      <c r="J60" s="9"/>
      <c r="K60" s="9"/>
      <c r="L60" s="9"/>
    </row>
    <row r="61" spans="1:12" x14ac:dyDescent="0.25">
      <c r="E61" s="9"/>
      <c r="F61" s="9"/>
      <c r="G61" s="9"/>
      <c r="H61" s="9"/>
      <c r="I61" s="9"/>
      <c r="J61" s="9"/>
      <c r="K61" s="9"/>
      <c r="L61" s="9"/>
    </row>
    <row r="62" spans="1:12" x14ac:dyDescent="0.25">
      <c r="E62" s="9"/>
      <c r="F62" s="9"/>
      <c r="G62" s="9"/>
      <c r="H62" s="9"/>
      <c r="I62" s="9"/>
      <c r="J62" s="9"/>
      <c r="K62" s="9"/>
      <c r="L62" s="9"/>
    </row>
    <row r="63" spans="1:12" x14ac:dyDescent="0.25">
      <c r="E63" s="9"/>
      <c r="F63" s="9"/>
      <c r="G63" s="9"/>
      <c r="H63" s="9"/>
      <c r="I63" s="9"/>
      <c r="J63" s="9"/>
      <c r="K63" s="9"/>
      <c r="L63" s="9"/>
    </row>
    <row r="64" spans="1:12" x14ac:dyDescent="0.25">
      <c r="E64" s="9"/>
      <c r="F64" s="9"/>
      <c r="G64" s="9"/>
      <c r="H64" s="9"/>
      <c r="I64" s="9"/>
      <c r="J64" s="9"/>
      <c r="K64" s="9"/>
      <c r="L64" s="9"/>
    </row>
    <row r="65" spans="1:12" x14ac:dyDescent="0.25">
      <c r="E65" s="9"/>
      <c r="F65" s="9"/>
      <c r="G65" s="9"/>
      <c r="H65" s="9"/>
      <c r="I65" s="9"/>
      <c r="J65" s="9"/>
      <c r="K65" s="9"/>
      <c r="L65" s="9"/>
    </row>
    <row r="66" spans="1:12" x14ac:dyDescent="0.25">
      <c r="E66" s="9"/>
      <c r="F66" s="9"/>
      <c r="G66" s="9"/>
      <c r="H66" s="9"/>
      <c r="I66" s="9"/>
      <c r="J66" s="9"/>
      <c r="K66" s="9"/>
      <c r="L66" s="9"/>
    </row>
    <row r="67" spans="1:12" x14ac:dyDescent="0.25">
      <c r="E67" s="9"/>
      <c r="F67" s="9"/>
      <c r="G67" s="9"/>
      <c r="H67" s="9"/>
      <c r="I67" s="9"/>
      <c r="J67" s="9"/>
      <c r="K67" s="9"/>
      <c r="L67" s="9"/>
    </row>
    <row r="68" spans="1:12" x14ac:dyDescent="0.25">
      <c r="E68" s="9"/>
      <c r="F68" s="9"/>
      <c r="G68" s="9"/>
      <c r="H68" s="9"/>
      <c r="I68" s="9"/>
      <c r="J68" s="9"/>
      <c r="K68" s="9"/>
      <c r="L68" s="9"/>
    </row>
    <row r="69" spans="1:12" x14ac:dyDescent="0.25">
      <c r="E69" s="9"/>
      <c r="F69" s="9"/>
      <c r="G69" s="9"/>
      <c r="H69" s="9"/>
      <c r="I69" s="9"/>
      <c r="J69" s="9"/>
      <c r="K69" s="9"/>
      <c r="L69" s="9"/>
    </row>
    <row r="70" spans="1:12" x14ac:dyDescent="0.25">
      <c r="E70" s="9"/>
      <c r="F70" s="9"/>
      <c r="G70" s="9"/>
      <c r="H70" s="9"/>
      <c r="I70" s="9"/>
      <c r="J70" s="9"/>
      <c r="K70" s="9"/>
      <c r="L70" s="9"/>
    </row>
    <row r="71" spans="1:12" x14ac:dyDescent="0.25">
      <c r="E71" s="9"/>
      <c r="F71" s="9"/>
      <c r="G71" s="9"/>
      <c r="H71" s="9"/>
      <c r="I71" s="9"/>
      <c r="J71" s="9"/>
      <c r="K71" s="9"/>
      <c r="L71" s="9"/>
    </row>
    <row r="72" spans="1:12" x14ac:dyDescent="0.25">
      <c r="B72" s="4" t="s">
        <v>8</v>
      </c>
      <c r="E72" s="9"/>
      <c r="F72" s="9"/>
      <c r="G72" s="9"/>
      <c r="H72" s="9"/>
      <c r="I72" s="9"/>
      <c r="J72" s="9"/>
      <c r="K72" s="9"/>
      <c r="L72" s="9"/>
    </row>
    <row r="73" spans="1:12" x14ac:dyDescent="0.25">
      <c r="D73" s="10" t="s">
        <v>7</v>
      </c>
      <c r="E73" s="11">
        <f t="shared" ref="E73:L73" si="8">SUM(E58:E72)</f>
        <v>0</v>
      </c>
      <c r="F73" s="11">
        <f t="shared" si="8"/>
        <v>0</v>
      </c>
      <c r="G73" s="11">
        <f t="shared" si="8"/>
        <v>0</v>
      </c>
      <c r="H73" s="11">
        <f t="shared" si="8"/>
        <v>0</v>
      </c>
      <c r="I73" s="11">
        <f t="shared" si="8"/>
        <v>0</v>
      </c>
      <c r="J73" s="11">
        <f t="shared" si="8"/>
        <v>0</v>
      </c>
      <c r="K73" s="11">
        <f t="shared" si="8"/>
        <v>0</v>
      </c>
      <c r="L73" s="11">
        <f t="shared" si="8"/>
        <v>0</v>
      </c>
    </row>
    <row r="74" spans="1:12" x14ac:dyDescent="0.25">
      <c r="D74" s="8" t="s">
        <v>9</v>
      </c>
      <c r="E74" s="4">
        <f t="shared" ref="E74:L74" si="9">+E56-E73</f>
        <v>0</v>
      </c>
      <c r="F74" s="4">
        <f t="shared" si="9"/>
        <v>0</v>
      </c>
      <c r="G74" s="4">
        <f t="shared" si="9"/>
        <v>0</v>
      </c>
      <c r="H74" s="4">
        <f t="shared" si="9"/>
        <v>0</v>
      </c>
      <c r="I74" s="4">
        <f t="shared" si="9"/>
        <v>0</v>
      </c>
      <c r="J74" s="4">
        <f t="shared" si="9"/>
        <v>0</v>
      </c>
      <c r="K74" s="4">
        <f t="shared" si="9"/>
        <v>0</v>
      </c>
      <c r="L74" s="4">
        <f t="shared" si="9"/>
        <v>0</v>
      </c>
    </row>
    <row r="75" spans="1:12" ht="13.8" thickBot="1" x14ac:dyDescent="0.3">
      <c r="D75" s="8" t="s">
        <v>10</v>
      </c>
      <c r="E75" s="12">
        <f t="shared" ref="E75:L75" si="10">+E45+E74</f>
        <v>0</v>
      </c>
      <c r="F75" s="12">
        <f t="shared" si="10"/>
        <v>0</v>
      </c>
      <c r="G75" s="12">
        <f t="shared" si="10"/>
        <v>0</v>
      </c>
      <c r="H75" s="12">
        <f t="shared" si="10"/>
        <v>0</v>
      </c>
      <c r="I75" s="12">
        <f t="shared" si="10"/>
        <v>0</v>
      </c>
      <c r="J75" s="12">
        <f t="shared" si="10"/>
        <v>0</v>
      </c>
      <c r="K75" s="12">
        <f t="shared" si="10"/>
        <v>0</v>
      </c>
      <c r="L75" s="12">
        <f t="shared" si="10"/>
        <v>0</v>
      </c>
    </row>
    <row r="76" spans="1:12" ht="13.8" thickTop="1" x14ac:dyDescent="0.25"/>
    <row r="77" spans="1:12" x14ac:dyDescent="0.25">
      <c r="A77" s="26" t="str">
        <f>+Grunddaten!B58</f>
        <v>Bank 3</v>
      </c>
      <c r="B77" s="18"/>
      <c r="C77" s="18"/>
      <c r="D77" s="18"/>
      <c r="E77" s="8" t="s">
        <v>1</v>
      </c>
      <c r="F77" s="15">
        <f>+Grunddaten!D58</f>
        <v>0</v>
      </c>
      <c r="G77" s="7"/>
      <c r="H77" s="7"/>
    </row>
    <row r="78" spans="1:12" x14ac:dyDescent="0.25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D79" s="8" t="s">
        <v>12</v>
      </c>
      <c r="E79" s="9">
        <v>0</v>
      </c>
      <c r="F79" s="4">
        <f>+E109</f>
        <v>0</v>
      </c>
      <c r="G79" s="4">
        <f t="shared" ref="G79:L79" si="11">+F109</f>
        <v>0</v>
      </c>
      <c r="H79" s="4">
        <f t="shared" si="11"/>
        <v>0</v>
      </c>
      <c r="I79" s="4">
        <f t="shared" si="11"/>
        <v>0</v>
      </c>
      <c r="J79" s="4">
        <f t="shared" si="11"/>
        <v>0</v>
      </c>
      <c r="K79" s="4">
        <f t="shared" si="11"/>
        <v>0</v>
      </c>
      <c r="L79" s="4">
        <f t="shared" si="11"/>
        <v>0</v>
      </c>
    </row>
    <row r="80" spans="1:12" x14ac:dyDescent="0.25">
      <c r="A80" s="25" t="s">
        <v>4</v>
      </c>
      <c r="E80" s="9"/>
      <c r="F80" s="9"/>
      <c r="G80" s="9"/>
      <c r="H80" s="9"/>
      <c r="I80" s="9"/>
      <c r="J80" s="9"/>
      <c r="K80" s="9"/>
      <c r="L80" s="9"/>
    </row>
    <row r="81" spans="1:12" x14ac:dyDescent="0.25">
      <c r="E81" s="9"/>
      <c r="F81" s="9"/>
      <c r="G81" s="9"/>
      <c r="H81" s="9"/>
      <c r="I81" s="9"/>
      <c r="J81" s="9"/>
      <c r="K81" s="9"/>
      <c r="L81" s="9"/>
    </row>
    <row r="82" spans="1:12" x14ac:dyDescent="0.25">
      <c r="E82" s="9"/>
      <c r="F82" s="9"/>
      <c r="G82" s="9"/>
      <c r="H82" s="9"/>
      <c r="I82" s="9"/>
      <c r="J82" s="9"/>
      <c r="K82" s="9"/>
      <c r="L82" s="9"/>
    </row>
    <row r="83" spans="1:12" x14ac:dyDescent="0.25">
      <c r="E83" s="9"/>
      <c r="F83" s="9"/>
      <c r="G83" s="9"/>
      <c r="H83" s="9"/>
      <c r="I83" s="9"/>
      <c r="J83" s="9"/>
      <c r="K83" s="9"/>
      <c r="L83" s="9"/>
    </row>
    <row r="84" spans="1:12" x14ac:dyDescent="0.25">
      <c r="E84" s="9"/>
      <c r="F84" s="9"/>
      <c r="G84" s="9"/>
      <c r="H84" s="9"/>
      <c r="I84" s="9"/>
      <c r="J84" s="9"/>
      <c r="K84" s="9"/>
      <c r="L84" s="9"/>
    </row>
    <row r="85" spans="1:12" x14ac:dyDescent="0.25">
      <c r="E85" s="9"/>
      <c r="F85" s="9"/>
      <c r="G85" s="9"/>
      <c r="H85" s="9"/>
      <c r="I85" s="9"/>
      <c r="J85" s="9"/>
      <c r="K85" s="9"/>
      <c r="L85" s="9"/>
    </row>
    <row r="86" spans="1:12" x14ac:dyDescent="0.25">
      <c r="E86" s="9"/>
      <c r="F86" s="9"/>
      <c r="G86" s="9"/>
      <c r="H86" s="9"/>
      <c r="I86" s="9"/>
      <c r="J86" s="9"/>
      <c r="K86" s="9"/>
      <c r="L86" s="9"/>
    </row>
    <row r="87" spans="1:12" x14ac:dyDescent="0.25">
      <c r="E87" s="9"/>
      <c r="F87" s="9"/>
      <c r="G87" s="9"/>
      <c r="H87" s="9"/>
      <c r="I87" s="9"/>
      <c r="J87" s="9"/>
      <c r="K87" s="9"/>
      <c r="L87" s="9"/>
    </row>
    <row r="88" spans="1:12" x14ac:dyDescent="0.25">
      <c r="E88" s="9"/>
      <c r="F88" s="9"/>
      <c r="G88" s="9"/>
      <c r="H88" s="9"/>
      <c r="I88" s="9"/>
      <c r="J88" s="9"/>
      <c r="K88" s="9"/>
      <c r="L88" s="9"/>
    </row>
    <row r="89" spans="1:12" x14ac:dyDescent="0.25">
      <c r="E89" s="9"/>
      <c r="F89" s="9"/>
      <c r="G89" s="9"/>
      <c r="H89" s="9"/>
      <c r="I89" s="9"/>
      <c r="J89" s="9"/>
      <c r="K89" s="9"/>
      <c r="L89" s="9"/>
    </row>
    <row r="90" spans="1:12" x14ac:dyDescent="0.25">
      <c r="B90" s="4" t="s">
        <v>8</v>
      </c>
      <c r="E90" s="9"/>
      <c r="F90" s="9"/>
      <c r="G90" s="9"/>
      <c r="H90" s="9"/>
      <c r="I90" s="9"/>
      <c r="J90" s="9"/>
      <c r="K90" s="9"/>
      <c r="L90" s="9"/>
    </row>
    <row r="91" spans="1:12" x14ac:dyDescent="0.25">
      <c r="D91" s="10" t="s">
        <v>5</v>
      </c>
      <c r="E91" s="11">
        <f t="shared" ref="E91:L91" si="12">SUM(E80:E90)</f>
        <v>0</v>
      </c>
      <c r="F91" s="11">
        <f t="shared" si="12"/>
        <v>0</v>
      </c>
      <c r="G91" s="11">
        <f t="shared" si="12"/>
        <v>0</v>
      </c>
      <c r="H91" s="11">
        <f t="shared" si="12"/>
        <v>0</v>
      </c>
      <c r="I91" s="11">
        <f t="shared" si="12"/>
        <v>0</v>
      </c>
      <c r="J91" s="11">
        <f t="shared" si="12"/>
        <v>0</v>
      </c>
      <c r="K91" s="11">
        <f t="shared" si="12"/>
        <v>0</v>
      </c>
      <c r="L91" s="11">
        <f t="shared" si="12"/>
        <v>0</v>
      </c>
    </row>
    <row r="92" spans="1:12" x14ac:dyDescent="0.25">
      <c r="A92" s="25" t="s">
        <v>6</v>
      </c>
    </row>
    <row r="93" spans="1:12" x14ac:dyDescent="0.25">
      <c r="E93" s="9"/>
      <c r="F93" s="9"/>
      <c r="G93" s="9"/>
      <c r="H93" s="9"/>
      <c r="I93" s="9"/>
      <c r="J93" s="9"/>
      <c r="K93" s="9"/>
      <c r="L93" s="9"/>
    </row>
    <row r="94" spans="1:12" x14ac:dyDescent="0.25">
      <c r="E94" s="9"/>
      <c r="F94" s="9"/>
      <c r="G94" s="9"/>
      <c r="H94" s="9"/>
      <c r="I94" s="9"/>
      <c r="J94" s="9"/>
      <c r="K94" s="9"/>
      <c r="L94" s="9"/>
    </row>
    <row r="95" spans="1:12" x14ac:dyDescent="0.25">
      <c r="E95" s="9"/>
      <c r="F95" s="9"/>
      <c r="G95" s="9"/>
      <c r="H95" s="9"/>
      <c r="I95" s="9"/>
      <c r="J95" s="9"/>
      <c r="K95" s="9"/>
      <c r="L95" s="9"/>
    </row>
    <row r="96" spans="1:12" x14ac:dyDescent="0.25">
      <c r="E96" s="9"/>
      <c r="F96" s="9"/>
      <c r="G96" s="9"/>
      <c r="H96" s="9"/>
      <c r="I96" s="9"/>
      <c r="J96" s="9"/>
      <c r="K96" s="9"/>
      <c r="L96" s="9"/>
    </row>
    <row r="97" spans="1:12" x14ac:dyDescent="0.25">
      <c r="E97" s="9"/>
      <c r="F97" s="9"/>
      <c r="G97" s="9"/>
      <c r="H97" s="9"/>
      <c r="I97" s="9"/>
      <c r="J97" s="9"/>
      <c r="K97" s="9"/>
      <c r="L97" s="9"/>
    </row>
    <row r="98" spans="1:12" x14ac:dyDescent="0.25">
      <c r="E98" s="9"/>
      <c r="F98" s="9"/>
      <c r="G98" s="9"/>
      <c r="H98" s="9"/>
      <c r="I98" s="9"/>
      <c r="J98" s="9"/>
      <c r="K98" s="9"/>
      <c r="L98" s="9"/>
    </row>
    <row r="99" spans="1:12" x14ac:dyDescent="0.25">
      <c r="E99" s="9"/>
      <c r="F99" s="9"/>
      <c r="G99" s="9"/>
      <c r="H99" s="9"/>
      <c r="I99" s="9"/>
      <c r="J99" s="9"/>
      <c r="K99" s="9"/>
      <c r="L99" s="9"/>
    </row>
    <row r="100" spans="1:12" x14ac:dyDescent="0.25"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E101" s="9"/>
      <c r="F101" s="9"/>
      <c r="G101" s="9"/>
      <c r="H101" s="9"/>
      <c r="I101" s="9"/>
      <c r="J101" s="9"/>
      <c r="K101" s="9"/>
      <c r="L101" s="9"/>
    </row>
    <row r="102" spans="1:12" x14ac:dyDescent="0.25"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E104" s="9"/>
      <c r="F104" s="9"/>
      <c r="G104" s="9"/>
      <c r="H104" s="9"/>
      <c r="I104" s="9"/>
      <c r="J104" s="9"/>
      <c r="K104" s="9"/>
      <c r="L104" s="9"/>
    </row>
    <row r="105" spans="1:12" x14ac:dyDescent="0.25"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B106" s="4" t="s">
        <v>8</v>
      </c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D107" s="10" t="s">
        <v>7</v>
      </c>
      <c r="E107" s="11">
        <f t="shared" ref="E107:L107" si="13">SUM(E93:E106)</f>
        <v>0</v>
      </c>
      <c r="F107" s="11">
        <f t="shared" si="13"/>
        <v>0</v>
      </c>
      <c r="G107" s="11">
        <f t="shared" si="13"/>
        <v>0</v>
      </c>
      <c r="H107" s="11">
        <f t="shared" si="13"/>
        <v>0</v>
      </c>
      <c r="I107" s="11">
        <f t="shared" si="13"/>
        <v>0</v>
      </c>
      <c r="J107" s="11">
        <f t="shared" si="13"/>
        <v>0</v>
      </c>
      <c r="K107" s="11">
        <f t="shared" si="13"/>
        <v>0</v>
      </c>
      <c r="L107" s="11">
        <f t="shared" si="13"/>
        <v>0</v>
      </c>
    </row>
    <row r="108" spans="1:12" x14ac:dyDescent="0.25">
      <c r="D108" s="8" t="s">
        <v>9</v>
      </c>
      <c r="E108" s="4">
        <f>+E91-E107</f>
        <v>0</v>
      </c>
      <c r="F108" s="4">
        <f t="shared" ref="F108:L108" si="14">+F91-F107</f>
        <v>0</v>
      </c>
      <c r="G108" s="4">
        <f t="shared" si="14"/>
        <v>0</v>
      </c>
      <c r="H108" s="4">
        <f t="shared" si="14"/>
        <v>0</v>
      </c>
      <c r="I108" s="4">
        <f t="shared" si="14"/>
        <v>0</v>
      </c>
      <c r="J108" s="4">
        <f t="shared" si="14"/>
        <v>0</v>
      </c>
      <c r="K108" s="4">
        <f t="shared" si="14"/>
        <v>0</v>
      </c>
      <c r="L108" s="4">
        <f t="shared" si="14"/>
        <v>0</v>
      </c>
    </row>
    <row r="109" spans="1:12" ht="13.8" thickBot="1" x14ac:dyDescent="0.3">
      <c r="D109" s="8" t="s">
        <v>10</v>
      </c>
      <c r="E109" s="12">
        <f>+E79+E108</f>
        <v>0</v>
      </c>
      <c r="F109" s="12">
        <f t="shared" ref="F109:L109" si="15">+F79+F108</f>
        <v>0</v>
      </c>
      <c r="G109" s="12">
        <f t="shared" si="15"/>
        <v>0</v>
      </c>
      <c r="H109" s="12">
        <f t="shared" si="15"/>
        <v>0</v>
      </c>
      <c r="I109" s="12">
        <f t="shared" si="15"/>
        <v>0</v>
      </c>
      <c r="J109" s="12">
        <f t="shared" si="15"/>
        <v>0</v>
      </c>
      <c r="K109" s="12">
        <f t="shared" si="15"/>
        <v>0</v>
      </c>
      <c r="L109" s="12">
        <f t="shared" si="15"/>
        <v>0</v>
      </c>
    </row>
    <row r="110" spans="1:12" ht="13.8" thickTop="1" x14ac:dyDescent="0.25"/>
    <row r="111" spans="1:12" x14ac:dyDescent="0.25">
      <c r="A111" s="26" t="str">
        <f>+Grunddaten!B59</f>
        <v>Bank 4</v>
      </c>
      <c r="B111" s="18"/>
      <c r="C111" s="18"/>
      <c r="D111" s="18"/>
      <c r="E111" s="8" t="s">
        <v>1</v>
      </c>
      <c r="F111" s="15">
        <f>+Grunddaten!D59</f>
        <v>0</v>
      </c>
      <c r="G111" s="7"/>
      <c r="H111" s="7"/>
    </row>
    <row r="112" spans="1:12" x14ac:dyDescent="0.25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D113" s="8" t="s">
        <v>12</v>
      </c>
      <c r="E113" s="9">
        <v>0</v>
      </c>
      <c r="F113" s="4">
        <f>+E143</f>
        <v>0</v>
      </c>
      <c r="G113" s="4">
        <f t="shared" ref="G113:L113" si="16">+F143</f>
        <v>0</v>
      </c>
      <c r="H113" s="4">
        <f t="shared" si="16"/>
        <v>0</v>
      </c>
      <c r="I113" s="4">
        <f t="shared" si="16"/>
        <v>0</v>
      </c>
      <c r="J113" s="4">
        <f t="shared" si="16"/>
        <v>0</v>
      </c>
      <c r="K113" s="4">
        <f t="shared" si="16"/>
        <v>0</v>
      </c>
      <c r="L113" s="4">
        <f t="shared" si="16"/>
        <v>0</v>
      </c>
    </row>
    <row r="114" spans="1:12" x14ac:dyDescent="0.25">
      <c r="A114" s="25" t="s">
        <v>4</v>
      </c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25"/>
      <c r="E115" s="9"/>
      <c r="F115" s="9"/>
      <c r="G115" s="9"/>
      <c r="H115" s="9"/>
      <c r="I115" s="9"/>
      <c r="J115" s="9"/>
      <c r="K115" s="9"/>
      <c r="L115" s="9"/>
    </row>
    <row r="116" spans="1:12" x14ac:dyDescent="0.25">
      <c r="A116" s="25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25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25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25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E120" s="9"/>
      <c r="F120" s="9"/>
      <c r="G120" s="9"/>
      <c r="H120" s="9" t="s">
        <v>28</v>
      </c>
      <c r="I120" s="9" t="s">
        <v>28</v>
      </c>
      <c r="J120" s="9" t="s">
        <v>28</v>
      </c>
      <c r="K120" s="9"/>
      <c r="L120" s="9"/>
    </row>
    <row r="121" spans="1:12" x14ac:dyDescent="0.25">
      <c r="E121" s="9"/>
      <c r="F121" s="9"/>
      <c r="G121" s="9"/>
      <c r="H121" s="9"/>
      <c r="I121" s="9"/>
      <c r="J121" s="9"/>
      <c r="K121" s="9"/>
      <c r="L121" s="9"/>
    </row>
    <row r="122" spans="1:12" x14ac:dyDescent="0.25"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E123" s="9"/>
      <c r="F123" s="9"/>
      <c r="G123" s="9"/>
      <c r="H123" s="9"/>
      <c r="I123" s="9"/>
      <c r="J123" s="9"/>
      <c r="K123" s="9"/>
      <c r="L123" s="9"/>
    </row>
    <row r="124" spans="1:12" x14ac:dyDescent="0.25">
      <c r="B124" s="4" t="s">
        <v>8</v>
      </c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D125" s="10" t="s">
        <v>5</v>
      </c>
      <c r="E125" s="11">
        <f t="shared" ref="E125:L125" si="17">SUM(E114:E124)</f>
        <v>0</v>
      </c>
      <c r="F125" s="11">
        <f t="shared" si="17"/>
        <v>0</v>
      </c>
      <c r="G125" s="11">
        <f t="shared" si="17"/>
        <v>0</v>
      </c>
      <c r="H125" s="11">
        <f t="shared" si="17"/>
        <v>0</v>
      </c>
      <c r="I125" s="11">
        <f t="shared" si="17"/>
        <v>0</v>
      </c>
      <c r="J125" s="11">
        <f t="shared" si="17"/>
        <v>0</v>
      </c>
      <c r="K125" s="11">
        <f t="shared" si="17"/>
        <v>0</v>
      </c>
      <c r="L125" s="11">
        <f t="shared" si="17"/>
        <v>0</v>
      </c>
    </row>
    <row r="126" spans="1:12" x14ac:dyDescent="0.25">
      <c r="A126" s="25" t="s">
        <v>6</v>
      </c>
    </row>
    <row r="127" spans="1:12" x14ac:dyDescent="0.25">
      <c r="A127" s="25"/>
      <c r="E127" s="9"/>
      <c r="F127" s="9"/>
      <c r="G127" s="9"/>
      <c r="H127" s="9"/>
      <c r="I127" s="9"/>
      <c r="J127" s="9"/>
      <c r="K127" s="9"/>
      <c r="L127" s="9"/>
    </row>
    <row r="128" spans="1:12" x14ac:dyDescent="0.25">
      <c r="A128" s="25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25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25"/>
      <c r="E130" s="9"/>
      <c r="F130" s="9"/>
      <c r="G130" s="9"/>
      <c r="H130" s="9"/>
      <c r="I130" s="9"/>
      <c r="J130" s="9"/>
      <c r="K130" s="9"/>
      <c r="L130" s="9"/>
    </row>
    <row r="131" spans="1:12" x14ac:dyDescent="0.25">
      <c r="A131" s="25"/>
      <c r="E131" s="9"/>
      <c r="F131" s="9"/>
      <c r="G131" s="9"/>
      <c r="H131" s="9"/>
      <c r="I131" s="9"/>
      <c r="J131" s="9"/>
      <c r="K131" s="9"/>
      <c r="L131" s="9"/>
    </row>
    <row r="132" spans="1:12" x14ac:dyDescent="0.25">
      <c r="A132" s="25"/>
      <c r="E132" s="9"/>
      <c r="F132" s="9"/>
      <c r="G132" s="9"/>
      <c r="H132" s="9"/>
      <c r="I132" s="9"/>
      <c r="J132" s="9"/>
      <c r="K132" s="9"/>
      <c r="L132" s="9"/>
    </row>
    <row r="133" spans="1:12" x14ac:dyDescent="0.25">
      <c r="E133" s="9"/>
      <c r="F133" s="9"/>
      <c r="G133" s="9"/>
      <c r="H133" s="9"/>
      <c r="I133" s="9"/>
      <c r="J133" s="9"/>
      <c r="K133" s="9"/>
      <c r="L133" s="9"/>
    </row>
    <row r="134" spans="1:12" x14ac:dyDescent="0.25"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E136" s="9"/>
      <c r="F136" s="9"/>
      <c r="G136" s="9"/>
      <c r="H136" s="9"/>
      <c r="I136" s="9"/>
      <c r="J136" s="9"/>
      <c r="K136" s="9"/>
      <c r="L136" s="9"/>
    </row>
    <row r="137" spans="1:12" x14ac:dyDescent="0.25"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E138" s="9"/>
      <c r="F138" s="9"/>
      <c r="G138" s="9"/>
      <c r="H138" s="9"/>
      <c r="I138" s="9"/>
      <c r="J138" s="9"/>
      <c r="K138" s="9"/>
      <c r="L138" s="9"/>
    </row>
    <row r="139" spans="1:12" x14ac:dyDescent="0.25"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B140" s="4" t="s">
        <v>8</v>
      </c>
      <c r="E140" s="9"/>
      <c r="F140" s="9"/>
      <c r="G140" s="9"/>
      <c r="H140" s="9"/>
      <c r="I140" s="9"/>
      <c r="J140" s="9"/>
      <c r="K140" s="9"/>
      <c r="L140" s="9"/>
    </row>
    <row r="141" spans="1:12" x14ac:dyDescent="0.25">
      <c r="D141" s="10" t="s">
        <v>7</v>
      </c>
      <c r="E141" s="11">
        <f>SUM(E127:E140)</f>
        <v>0</v>
      </c>
      <c r="F141" s="11">
        <f t="shared" ref="F141:L141" si="18">SUM(F127:F140)</f>
        <v>0</v>
      </c>
      <c r="G141" s="11">
        <f t="shared" si="18"/>
        <v>0</v>
      </c>
      <c r="H141" s="11">
        <f t="shared" si="18"/>
        <v>0</v>
      </c>
      <c r="I141" s="11">
        <f t="shared" si="18"/>
        <v>0</v>
      </c>
      <c r="J141" s="11">
        <f t="shared" si="18"/>
        <v>0</v>
      </c>
      <c r="K141" s="11">
        <f t="shared" si="18"/>
        <v>0</v>
      </c>
      <c r="L141" s="11">
        <f t="shared" si="18"/>
        <v>0</v>
      </c>
    </row>
    <row r="142" spans="1:12" x14ac:dyDescent="0.25">
      <c r="D142" s="8" t="s">
        <v>9</v>
      </c>
      <c r="E142" s="4">
        <f>+E125-E141</f>
        <v>0</v>
      </c>
      <c r="F142" s="4">
        <f t="shared" ref="F142:L142" si="19">+F125-F141</f>
        <v>0</v>
      </c>
      <c r="G142" s="4">
        <f t="shared" si="19"/>
        <v>0</v>
      </c>
      <c r="H142" s="4">
        <f t="shared" si="19"/>
        <v>0</v>
      </c>
      <c r="I142" s="4">
        <f t="shared" si="19"/>
        <v>0</v>
      </c>
      <c r="J142" s="4">
        <f t="shared" si="19"/>
        <v>0</v>
      </c>
      <c r="K142" s="4">
        <f t="shared" si="19"/>
        <v>0</v>
      </c>
      <c r="L142" s="4">
        <f t="shared" si="19"/>
        <v>0</v>
      </c>
    </row>
    <row r="143" spans="1:12" ht="13.8" thickBot="1" x14ac:dyDescent="0.3">
      <c r="D143" s="8" t="s">
        <v>10</v>
      </c>
      <c r="E143" s="12">
        <f>+E113+E142</f>
        <v>0</v>
      </c>
      <c r="F143" s="12">
        <f t="shared" ref="F143:L143" si="20">+F113+F142</f>
        <v>0</v>
      </c>
      <c r="G143" s="12">
        <f t="shared" si="20"/>
        <v>0</v>
      </c>
      <c r="H143" s="12">
        <f t="shared" si="20"/>
        <v>0</v>
      </c>
      <c r="I143" s="12">
        <f t="shared" si="20"/>
        <v>0</v>
      </c>
      <c r="J143" s="12">
        <f t="shared" si="20"/>
        <v>0</v>
      </c>
      <c r="K143" s="12">
        <f t="shared" si="20"/>
        <v>0</v>
      </c>
      <c r="L143" s="12">
        <f t="shared" si="20"/>
        <v>0</v>
      </c>
    </row>
    <row r="144" spans="1:12" ht="8.25" customHeight="1" thickTop="1" x14ac:dyDescent="0.25">
      <c r="D144" s="8"/>
    </row>
    <row r="145" spans="1:12" x14ac:dyDescent="0.25">
      <c r="A145" s="26" t="str">
        <f>+Grunddaten!B60</f>
        <v>Bank 5</v>
      </c>
      <c r="B145" s="18"/>
      <c r="C145" s="18"/>
      <c r="D145" s="18"/>
      <c r="E145" s="8" t="s">
        <v>1</v>
      </c>
      <c r="F145" s="15">
        <f>+Grunddaten!D60</f>
        <v>0</v>
      </c>
      <c r="G145" s="7"/>
      <c r="H145" s="7"/>
    </row>
    <row r="146" spans="1:12" x14ac:dyDescent="0.25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D147" s="8" t="s">
        <v>12</v>
      </c>
      <c r="E147" s="9">
        <v>0</v>
      </c>
      <c r="F147" s="4">
        <f>+E177</f>
        <v>0</v>
      </c>
      <c r="G147" s="4">
        <f t="shared" ref="G147:L147" si="21">+F177</f>
        <v>0</v>
      </c>
      <c r="H147" s="4">
        <f t="shared" si="21"/>
        <v>0</v>
      </c>
      <c r="I147" s="4">
        <f t="shared" si="21"/>
        <v>0</v>
      </c>
      <c r="J147" s="4">
        <f t="shared" si="21"/>
        <v>0</v>
      </c>
      <c r="K147" s="4">
        <f t="shared" si="21"/>
        <v>0</v>
      </c>
      <c r="L147" s="4">
        <f t="shared" si="21"/>
        <v>0</v>
      </c>
    </row>
    <row r="148" spans="1:12" x14ac:dyDescent="0.25">
      <c r="A148" s="25" t="s">
        <v>4</v>
      </c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E150" s="9"/>
      <c r="F150" s="9"/>
      <c r="G150" s="9"/>
      <c r="H150" s="9"/>
      <c r="I150" s="9"/>
      <c r="J150" s="9"/>
      <c r="K150" s="9"/>
      <c r="L150" s="9"/>
    </row>
    <row r="151" spans="1:12" x14ac:dyDescent="0.25"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E152" s="9"/>
      <c r="F152" s="9"/>
      <c r="G152" s="9"/>
      <c r="H152" s="9"/>
      <c r="I152" s="9"/>
      <c r="J152" s="9"/>
      <c r="K152" s="9"/>
      <c r="L152" s="9"/>
    </row>
    <row r="153" spans="1:12" x14ac:dyDescent="0.25">
      <c r="E153" s="9"/>
      <c r="F153" s="9"/>
      <c r="G153" s="9"/>
      <c r="H153" s="9"/>
      <c r="I153" s="9"/>
      <c r="J153" s="9"/>
      <c r="K153" s="9"/>
      <c r="L153" s="9"/>
    </row>
    <row r="154" spans="1:12" x14ac:dyDescent="0.25">
      <c r="E154" s="9"/>
      <c r="F154" s="9"/>
      <c r="G154" s="9"/>
      <c r="H154" s="9"/>
      <c r="I154" s="9"/>
      <c r="J154" s="9"/>
      <c r="K154" s="9"/>
      <c r="L154" s="9"/>
    </row>
    <row r="155" spans="1:12" x14ac:dyDescent="0.25">
      <c r="E155" s="9"/>
      <c r="F155" s="9"/>
      <c r="G155" s="9"/>
      <c r="H155" s="9"/>
      <c r="I155" s="9"/>
      <c r="J155" s="9"/>
      <c r="K155" s="9"/>
      <c r="L155" s="9"/>
    </row>
    <row r="156" spans="1:12" x14ac:dyDescent="0.25">
      <c r="E156" s="9"/>
      <c r="F156" s="9"/>
      <c r="G156" s="9"/>
      <c r="H156" s="9"/>
      <c r="I156" s="9"/>
      <c r="J156" s="9"/>
      <c r="K156" s="9"/>
      <c r="L156" s="9"/>
    </row>
    <row r="157" spans="1:12" x14ac:dyDescent="0.25">
      <c r="E157" s="9"/>
      <c r="F157" s="9"/>
      <c r="G157" s="9"/>
      <c r="H157" s="9"/>
      <c r="I157" s="9"/>
      <c r="J157" s="9"/>
      <c r="K157" s="9"/>
      <c r="L157" s="9"/>
    </row>
    <row r="158" spans="1:12" x14ac:dyDescent="0.25">
      <c r="B158" s="4" t="s">
        <v>8</v>
      </c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D159" s="10" t="s">
        <v>5</v>
      </c>
      <c r="E159" s="11">
        <f>SUM(E148:E158)</f>
        <v>0</v>
      </c>
      <c r="F159" s="11">
        <f t="shared" ref="F159:L159" si="22">SUM(F148:F158)</f>
        <v>0</v>
      </c>
      <c r="G159" s="11">
        <f t="shared" si="22"/>
        <v>0</v>
      </c>
      <c r="H159" s="11">
        <f t="shared" si="22"/>
        <v>0</v>
      </c>
      <c r="I159" s="11">
        <f t="shared" si="22"/>
        <v>0</v>
      </c>
      <c r="J159" s="11">
        <f t="shared" si="22"/>
        <v>0</v>
      </c>
      <c r="K159" s="11">
        <f t="shared" si="22"/>
        <v>0</v>
      </c>
      <c r="L159" s="11">
        <f t="shared" si="22"/>
        <v>0</v>
      </c>
    </row>
    <row r="160" spans="1:12" x14ac:dyDescent="0.25">
      <c r="A160" s="25" t="s">
        <v>6</v>
      </c>
    </row>
    <row r="161" spans="2:12" x14ac:dyDescent="0.25">
      <c r="E161" s="9"/>
      <c r="F161" s="9"/>
      <c r="G161" s="9"/>
      <c r="H161" s="9"/>
      <c r="I161" s="9"/>
      <c r="J161" s="9"/>
      <c r="K161" s="9"/>
      <c r="L161" s="9"/>
    </row>
    <row r="162" spans="2:12" x14ac:dyDescent="0.25">
      <c r="E162" s="9"/>
      <c r="F162" s="9"/>
      <c r="G162" s="9"/>
      <c r="H162" s="9"/>
      <c r="I162" s="9"/>
      <c r="J162" s="9"/>
      <c r="K162" s="9"/>
      <c r="L162" s="9"/>
    </row>
    <row r="163" spans="2:12" x14ac:dyDescent="0.25">
      <c r="E163" s="9"/>
      <c r="F163" s="9"/>
      <c r="G163" s="9"/>
      <c r="H163" s="9"/>
      <c r="I163" s="9"/>
      <c r="J163" s="9"/>
      <c r="K163" s="9"/>
      <c r="L163" s="9"/>
    </row>
    <row r="164" spans="2:12" x14ac:dyDescent="0.25">
      <c r="E164" s="9"/>
      <c r="F164" s="9"/>
      <c r="G164" s="9"/>
      <c r="H164" s="9"/>
      <c r="I164" s="9"/>
      <c r="J164" s="9"/>
      <c r="K164" s="9"/>
      <c r="L164" s="9"/>
    </row>
    <row r="165" spans="2:12" x14ac:dyDescent="0.25">
      <c r="E165" s="9"/>
      <c r="F165" s="9"/>
      <c r="G165" s="9"/>
      <c r="H165" s="9"/>
      <c r="I165" s="9"/>
      <c r="J165" s="9"/>
      <c r="K165" s="9"/>
      <c r="L165" s="9"/>
    </row>
    <row r="166" spans="2:12" x14ac:dyDescent="0.25">
      <c r="E166" s="9"/>
      <c r="F166" s="9"/>
      <c r="G166" s="9"/>
      <c r="H166" s="9"/>
      <c r="I166" s="9"/>
      <c r="J166" s="9"/>
      <c r="K166" s="9"/>
      <c r="L166" s="9"/>
    </row>
    <row r="167" spans="2:12" x14ac:dyDescent="0.25">
      <c r="E167" s="9"/>
      <c r="F167" s="9"/>
      <c r="G167" s="9"/>
      <c r="H167" s="9"/>
      <c r="I167" s="9"/>
      <c r="J167" s="9"/>
      <c r="K167" s="9"/>
      <c r="L167" s="9"/>
    </row>
    <row r="168" spans="2:12" x14ac:dyDescent="0.25">
      <c r="E168" s="9"/>
      <c r="F168" s="9"/>
      <c r="G168" s="9"/>
      <c r="H168" s="9"/>
      <c r="I168" s="9"/>
      <c r="J168" s="9"/>
      <c r="K168" s="9"/>
      <c r="L168" s="9"/>
    </row>
    <row r="169" spans="2:12" x14ac:dyDescent="0.25">
      <c r="E169" s="9"/>
      <c r="F169" s="9"/>
      <c r="G169" s="9"/>
      <c r="H169" s="9"/>
      <c r="I169" s="9"/>
      <c r="J169" s="9"/>
      <c r="K169" s="9"/>
      <c r="L169" s="9"/>
    </row>
    <row r="170" spans="2:12" x14ac:dyDescent="0.25">
      <c r="E170" s="9"/>
      <c r="F170" s="9"/>
      <c r="G170" s="9"/>
      <c r="H170" s="9"/>
      <c r="I170" s="9"/>
      <c r="J170" s="9"/>
      <c r="K170" s="9"/>
      <c r="L170" s="9"/>
    </row>
    <row r="171" spans="2:12" x14ac:dyDescent="0.25">
      <c r="E171" s="9"/>
      <c r="F171" s="9"/>
      <c r="G171" s="9"/>
      <c r="H171" s="9"/>
      <c r="I171" s="9"/>
      <c r="J171" s="9"/>
      <c r="K171" s="9"/>
      <c r="L171" s="9"/>
    </row>
    <row r="172" spans="2:12" x14ac:dyDescent="0.25">
      <c r="E172" s="9"/>
      <c r="F172" s="9"/>
      <c r="G172" s="9"/>
      <c r="H172" s="9"/>
      <c r="I172" s="9"/>
      <c r="J172" s="9"/>
      <c r="K172" s="9"/>
      <c r="L172" s="9"/>
    </row>
    <row r="173" spans="2:12" x14ac:dyDescent="0.25">
      <c r="E173" s="9"/>
      <c r="F173" s="9"/>
      <c r="G173" s="9"/>
      <c r="H173" s="9"/>
      <c r="I173" s="9"/>
      <c r="J173" s="9"/>
      <c r="K173" s="9"/>
      <c r="L173" s="9"/>
    </row>
    <row r="174" spans="2:12" x14ac:dyDescent="0.25">
      <c r="B174" s="4" t="s">
        <v>8</v>
      </c>
      <c r="E174" s="9"/>
      <c r="F174" s="9"/>
      <c r="G174" s="9"/>
      <c r="H174" s="9"/>
      <c r="I174" s="9"/>
      <c r="J174" s="9"/>
      <c r="K174" s="9"/>
      <c r="L174" s="9"/>
    </row>
    <row r="175" spans="2:12" x14ac:dyDescent="0.25">
      <c r="D175" s="10" t="s">
        <v>7</v>
      </c>
      <c r="E175" s="11">
        <f t="shared" ref="E175:L175" si="23">SUM(E161:E174)</f>
        <v>0</v>
      </c>
      <c r="F175" s="11">
        <f t="shared" si="23"/>
        <v>0</v>
      </c>
      <c r="G175" s="11">
        <f t="shared" si="23"/>
        <v>0</v>
      </c>
      <c r="H175" s="11">
        <f t="shared" si="23"/>
        <v>0</v>
      </c>
      <c r="I175" s="11">
        <f t="shared" si="23"/>
        <v>0</v>
      </c>
      <c r="J175" s="11">
        <f t="shared" si="23"/>
        <v>0</v>
      </c>
      <c r="K175" s="11">
        <f t="shared" si="23"/>
        <v>0</v>
      </c>
      <c r="L175" s="11">
        <f t="shared" si="23"/>
        <v>0</v>
      </c>
    </row>
    <row r="176" spans="2:12" x14ac:dyDescent="0.25">
      <c r="D176" s="8" t="s">
        <v>9</v>
      </c>
      <c r="E176" s="4">
        <f t="shared" ref="E176:L176" si="24">+E159-E175</f>
        <v>0</v>
      </c>
      <c r="F176" s="4">
        <f t="shared" si="24"/>
        <v>0</v>
      </c>
      <c r="G176" s="4">
        <f t="shared" si="24"/>
        <v>0</v>
      </c>
      <c r="H176" s="4">
        <f t="shared" si="24"/>
        <v>0</v>
      </c>
      <c r="I176" s="4">
        <f t="shared" si="24"/>
        <v>0</v>
      </c>
      <c r="J176" s="4">
        <f t="shared" si="24"/>
        <v>0</v>
      </c>
      <c r="K176" s="4">
        <f t="shared" si="24"/>
        <v>0</v>
      </c>
      <c r="L176" s="4">
        <f t="shared" si="24"/>
        <v>0</v>
      </c>
    </row>
    <row r="177" spans="1:12" x14ac:dyDescent="0.25">
      <c r="D177" s="8" t="s">
        <v>10</v>
      </c>
      <c r="E177" s="4">
        <f>+E147-E176</f>
        <v>0</v>
      </c>
      <c r="F177" s="4">
        <f t="shared" ref="F177:L177" si="25">+F147-F176</f>
        <v>0</v>
      </c>
      <c r="G177" s="4">
        <f t="shared" si="25"/>
        <v>0</v>
      </c>
      <c r="H177" s="4">
        <f t="shared" si="25"/>
        <v>0</v>
      </c>
      <c r="I177" s="4">
        <f t="shared" si="25"/>
        <v>0</v>
      </c>
      <c r="J177" s="4">
        <f t="shared" si="25"/>
        <v>0</v>
      </c>
      <c r="K177" s="4">
        <f t="shared" si="25"/>
        <v>0</v>
      </c>
      <c r="L177" s="4">
        <f t="shared" si="25"/>
        <v>0</v>
      </c>
    </row>
    <row r="179" spans="1:12" x14ac:dyDescent="0.25">
      <c r="A179" s="29" t="str">
        <f>Grunddaten!B61</f>
        <v>Bank 6</v>
      </c>
      <c r="B179" s="30"/>
      <c r="C179" s="30"/>
      <c r="D179" s="30"/>
      <c r="E179" s="8" t="s">
        <v>1</v>
      </c>
      <c r="F179" s="15">
        <f>+Grunddaten!D61</f>
        <v>0</v>
      </c>
      <c r="G179" s="7"/>
      <c r="H179" s="7"/>
    </row>
    <row r="180" spans="1:12" x14ac:dyDescent="0.25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D181" s="8" t="s">
        <v>12</v>
      </c>
      <c r="E181" s="9"/>
      <c r="F181" s="4">
        <f>+E211</f>
        <v>0</v>
      </c>
      <c r="G181" s="4">
        <f t="shared" ref="G181:L181" si="26">+F211</f>
        <v>0</v>
      </c>
      <c r="H181" s="4">
        <f t="shared" si="26"/>
        <v>0</v>
      </c>
      <c r="I181" s="4">
        <f t="shared" si="26"/>
        <v>0</v>
      </c>
      <c r="J181" s="4">
        <f t="shared" si="26"/>
        <v>0</v>
      </c>
      <c r="K181" s="4">
        <f t="shared" si="26"/>
        <v>0</v>
      </c>
      <c r="L181" s="4">
        <f t="shared" si="26"/>
        <v>0</v>
      </c>
    </row>
    <row r="182" spans="1:12" x14ac:dyDescent="0.25">
      <c r="A182" s="25" t="s">
        <v>4</v>
      </c>
      <c r="E182" s="9"/>
      <c r="F182" s="9"/>
      <c r="G182" s="9"/>
      <c r="H182" s="9"/>
      <c r="I182" s="9"/>
      <c r="J182" s="9"/>
      <c r="K182" s="9"/>
      <c r="L182" s="9"/>
    </row>
    <row r="183" spans="1:12" x14ac:dyDescent="0.25">
      <c r="A183" s="25"/>
      <c r="E183" s="9"/>
      <c r="F183" s="9"/>
      <c r="G183" s="9"/>
      <c r="H183" s="9"/>
      <c r="I183" s="9"/>
      <c r="J183" s="9"/>
      <c r="K183" s="9"/>
      <c r="L183" s="9"/>
    </row>
    <row r="184" spans="1:12" x14ac:dyDescent="0.25">
      <c r="A184" s="25"/>
      <c r="E184" s="9"/>
      <c r="F184" s="9"/>
      <c r="G184" s="9"/>
      <c r="H184" s="9"/>
      <c r="I184" s="9"/>
      <c r="J184" s="9"/>
      <c r="K184" s="9"/>
      <c r="L184" s="9"/>
    </row>
    <row r="185" spans="1:12" x14ac:dyDescent="0.25">
      <c r="A185" s="25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25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25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E188" s="9"/>
      <c r="F188" s="9"/>
      <c r="G188" s="9"/>
      <c r="H188" s="9"/>
      <c r="I188" s="9"/>
      <c r="J188" s="9"/>
      <c r="K188" s="9"/>
      <c r="L188" s="9"/>
    </row>
    <row r="189" spans="1:12" x14ac:dyDescent="0.25">
      <c r="E189" s="9"/>
      <c r="F189" s="9"/>
      <c r="G189" s="9"/>
      <c r="H189" s="9"/>
      <c r="I189" s="9"/>
      <c r="J189" s="9"/>
      <c r="K189" s="9"/>
      <c r="L189" s="9"/>
    </row>
    <row r="190" spans="1:12" x14ac:dyDescent="0.25"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B192" s="4" t="s">
        <v>8</v>
      </c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D193" s="10" t="s">
        <v>5</v>
      </c>
      <c r="E193" s="11">
        <f t="shared" ref="E193:L193" si="27">SUM(E182:E192)</f>
        <v>0</v>
      </c>
      <c r="F193" s="11">
        <f t="shared" si="27"/>
        <v>0</v>
      </c>
      <c r="G193" s="11">
        <f t="shared" si="27"/>
        <v>0</v>
      </c>
      <c r="H193" s="11">
        <f t="shared" si="27"/>
        <v>0</v>
      </c>
      <c r="I193" s="11">
        <f t="shared" si="27"/>
        <v>0</v>
      </c>
      <c r="J193" s="11">
        <f t="shared" si="27"/>
        <v>0</v>
      </c>
      <c r="K193" s="11">
        <f t="shared" si="27"/>
        <v>0</v>
      </c>
      <c r="L193" s="11">
        <f t="shared" si="27"/>
        <v>0</v>
      </c>
    </row>
    <row r="194" spans="1:12" x14ac:dyDescent="0.25">
      <c r="A194" s="25" t="s">
        <v>6</v>
      </c>
    </row>
    <row r="195" spans="1:12" x14ac:dyDescent="0.25">
      <c r="E195" s="9"/>
      <c r="F195" s="9"/>
      <c r="G195" s="9"/>
      <c r="H195" s="9"/>
      <c r="I195" s="9"/>
      <c r="J195" s="9"/>
      <c r="K195" s="9"/>
      <c r="L195" s="9"/>
    </row>
    <row r="196" spans="1:12" x14ac:dyDescent="0.25"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E198" s="9"/>
      <c r="F198" s="9"/>
      <c r="G198" s="9"/>
      <c r="H198" s="9"/>
      <c r="I198" s="9"/>
      <c r="J198" s="9"/>
      <c r="K198" s="9"/>
      <c r="L198" s="9"/>
    </row>
    <row r="199" spans="1:12" x14ac:dyDescent="0.25">
      <c r="E199" s="9"/>
      <c r="F199" s="9"/>
      <c r="G199" s="9"/>
      <c r="H199" s="9"/>
      <c r="I199" s="9"/>
      <c r="J199" s="9"/>
      <c r="K199" s="9"/>
      <c r="L199" s="9"/>
    </row>
    <row r="200" spans="1:12" x14ac:dyDescent="0.25">
      <c r="E200" s="9"/>
      <c r="F200" s="9"/>
      <c r="G200" s="9"/>
      <c r="H200" s="9"/>
      <c r="I200" s="9"/>
      <c r="J200" s="9"/>
      <c r="K200" s="9"/>
      <c r="L200" s="9"/>
    </row>
    <row r="201" spans="1:12" x14ac:dyDescent="0.25">
      <c r="E201" s="9"/>
      <c r="F201" s="9"/>
      <c r="G201" s="9"/>
      <c r="H201" s="9"/>
      <c r="I201" s="9"/>
      <c r="J201" s="9"/>
      <c r="K201" s="9"/>
      <c r="L201" s="9"/>
    </row>
    <row r="202" spans="1:12" x14ac:dyDescent="0.25">
      <c r="E202" s="9"/>
      <c r="F202" s="9"/>
      <c r="G202" s="9"/>
      <c r="H202" s="9"/>
      <c r="I202" s="9"/>
      <c r="J202" s="9"/>
      <c r="K202" s="9"/>
      <c r="L202" s="9"/>
    </row>
    <row r="203" spans="1:12" x14ac:dyDescent="0.25">
      <c r="E203" s="9"/>
      <c r="F203" s="9"/>
      <c r="G203" s="9"/>
      <c r="H203" s="9"/>
      <c r="I203" s="9"/>
      <c r="J203" s="9"/>
      <c r="K203" s="9"/>
      <c r="L203" s="9"/>
    </row>
    <row r="204" spans="1:12" x14ac:dyDescent="0.25">
      <c r="E204" s="9"/>
      <c r="F204" s="9"/>
      <c r="G204" s="9"/>
      <c r="H204" s="9"/>
      <c r="I204" s="9"/>
      <c r="J204" s="9"/>
      <c r="K204" s="9"/>
      <c r="L204" s="9"/>
    </row>
    <row r="205" spans="1:12" x14ac:dyDescent="0.25">
      <c r="E205" s="9"/>
      <c r="F205" s="9"/>
      <c r="G205" s="9"/>
      <c r="H205" s="9"/>
      <c r="I205" s="9"/>
      <c r="J205" s="9"/>
      <c r="K205" s="9"/>
      <c r="L205" s="9"/>
    </row>
    <row r="206" spans="1:12" x14ac:dyDescent="0.25">
      <c r="E206" s="9"/>
      <c r="F206" s="9"/>
      <c r="G206" s="9"/>
      <c r="H206" s="9"/>
      <c r="I206" s="9"/>
      <c r="J206" s="9"/>
      <c r="K206" s="9"/>
      <c r="L206" s="9"/>
    </row>
    <row r="207" spans="1:12" x14ac:dyDescent="0.25">
      <c r="E207" s="9"/>
      <c r="F207" s="9"/>
      <c r="G207" s="9"/>
      <c r="H207" s="9"/>
      <c r="I207" s="9"/>
      <c r="J207" s="9"/>
      <c r="K207" s="9"/>
      <c r="L207" s="9"/>
    </row>
    <row r="208" spans="1:12" x14ac:dyDescent="0.25">
      <c r="B208" s="4" t="s">
        <v>8</v>
      </c>
      <c r="E208" s="9"/>
      <c r="F208" s="9"/>
      <c r="G208" s="9"/>
      <c r="H208" s="9"/>
      <c r="I208" s="9"/>
      <c r="J208" s="9"/>
      <c r="K208" s="9"/>
      <c r="L208" s="9"/>
    </row>
    <row r="209" spans="1:12" x14ac:dyDescent="0.25">
      <c r="D209" s="10" t="s">
        <v>7</v>
      </c>
      <c r="E209" s="11">
        <f t="shared" ref="E209:L209" si="28">SUM(E195:E208)</f>
        <v>0</v>
      </c>
      <c r="F209" s="11">
        <f t="shared" si="28"/>
        <v>0</v>
      </c>
      <c r="G209" s="11">
        <f t="shared" si="28"/>
        <v>0</v>
      </c>
      <c r="H209" s="11">
        <f t="shared" si="28"/>
        <v>0</v>
      </c>
      <c r="I209" s="11">
        <f t="shared" si="28"/>
        <v>0</v>
      </c>
      <c r="J209" s="11">
        <f t="shared" si="28"/>
        <v>0</v>
      </c>
      <c r="K209" s="11">
        <f t="shared" si="28"/>
        <v>0</v>
      </c>
      <c r="L209" s="11">
        <f t="shared" si="28"/>
        <v>0</v>
      </c>
    </row>
    <row r="210" spans="1:12" x14ac:dyDescent="0.25">
      <c r="D210" s="8" t="s">
        <v>9</v>
      </c>
      <c r="E210" s="4">
        <f t="shared" ref="E210:L210" si="29">+E193-E209</f>
        <v>0</v>
      </c>
      <c r="F210" s="4">
        <f t="shared" si="29"/>
        <v>0</v>
      </c>
      <c r="G210" s="4">
        <f t="shared" si="29"/>
        <v>0</v>
      </c>
      <c r="H210" s="4">
        <f t="shared" si="29"/>
        <v>0</v>
      </c>
      <c r="I210" s="4">
        <f t="shared" si="29"/>
        <v>0</v>
      </c>
      <c r="J210" s="4">
        <f t="shared" si="29"/>
        <v>0</v>
      </c>
      <c r="K210" s="4">
        <f t="shared" si="29"/>
        <v>0</v>
      </c>
      <c r="L210" s="4">
        <f t="shared" si="29"/>
        <v>0</v>
      </c>
    </row>
    <row r="211" spans="1:12" ht="13.8" thickBot="1" x14ac:dyDescent="0.3">
      <c r="D211" s="8" t="s">
        <v>10</v>
      </c>
      <c r="E211" s="12">
        <f t="shared" ref="E211:L211" si="30">+E181+E210</f>
        <v>0</v>
      </c>
      <c r="F211" s="12">
        <f t="shared" si="30"/>
        <v>0</v>
      </c>
      <c r="G211" s="12">
        <f t="shared" si="30"/>
        <v>0</v>
      </c>
      <c r="H211" s="12">
        <f t="shared" si="30"/>
        <v>0</v>
      </c>
      <c r="I211" s="12">
        <f t="shared" si="30"/>
        <v>0</v>
      </c>
      <c r="J211" s="12">
        <f t="shared" si="30"/>
        <v>0</v>
      </c>
      <c r="K211" s="12">
        <f t="shared" si="30"/>
        <v>0</v>
      </c>
      <c r="L211" s="12">
        <f t="shared" si="30"/>
        <v>0</v>
      </c>
    </row>
    <row r="212" spans="1:12" ht="13.8" thickTop="1" x14ac:dyDescent="0.25">
      <c r="D212" s="8"/>
    </row>
    <row r="213" spans="1:12" x14ac:dyDescent="0.25">
      <c r="A213" s="29" t="str">
        <f>Grunddaten!B62</f>
        <v>Bank 7</v>
      </c>
      <c r="B213" s="30"/>
      <c r="C213" s="30"/>
      <c r="D213" s="30"/>
      <c r="E213" s="8" t="s">
        <v>1</v>
      </c>
      <c r="F213" s="15">
        <f>+Grunddaten!D62</f>
        <v>0</v>
      </c>
      <c r="G213" s="7"/>
      <c r="H213" s="7"/>
    </row>
    <row r="214" spans="1:12" x14ac:dyDescent="0.25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D215" s="8" t="s">
        <v>12</v>
      </c>
      <c r="E215" s="9"/>
      <c r="F215" s="4">
        <f>+E245</f>
        <v>0</v>
      </c>
      <c r="G215" s="4">
        <f t="shared" ref="G215:L215" si="31">+F245</f>
        <v>0</v>
      </c>
      <c r="H215" s="4">
        <f t="shared" si="31"/>
        <v>0</v>
      </c>
      <c r="I215" s="4">
        <f t="shared" si="31"/>
        <v>0</v>
      </c>
      <c r="J215" s="4">
        <f t="shared" si="31"/>
        <v>0</v>
      </c>
      <c r="K215" s="4">
        <f t="shared" si="31"/>
        <v>0</v>
      </c>
      <c r="L215" s="4">
        <f t="shared" si="31"/>
        <v>0</v>
      </c>
    </row>
    <row r="216" spans="1:12" x14ac:dyDescent="0.25">
      <c r="A216" s="25" t="s">
        <v>4</v>
      </c>
      <c r="E216" s="9"/>
      <c r="F216" s="9"/>
      <c r="G216" s="9"/>
      <c r="H216" s="9"/>
      <c r="I216" s="9"/>
      <c r="J216" s="9"/>
      <c r="K216" s="9"/>
      <c r="L216" s="9"/>
    </row>
    <row r="217" spans="1:12" x14ac:dyDescent="0.25">
      <c r="A217" s="25"/>
      <c r="E217" s="9"/>
      <c r="F217" s="9"/>
      <c r="G217" s="9"/>
      <c r="H217" s="9"/>
      <c r="I217" s="9"/>
      <c r="J217" s="9"/>
      <c r="K217" s="9"/>
      <c r="L217" s="9"/>
    </row>
    <row r="218" spans="1:12" x14ac:dyDescent="0.25">
      <c r="A218" s="25"/>
      <c r="E218" s="9"/>
      <c r="F218" s="9"/>
      <c r="G218" s="9"/>
      <c r="H218" s="9"/>
      <c r="I218" s="9"/>
      <c r="J218" s="9"/>
      <c r="K218" s="9"/>
      <c r="L218" s="9"/>
    </row>
    <row r="219" spans="1:12" x14ac:dyDescent="0.25">
      <c r="A219" s="25"/>
      <c r="E219" s="9"/>
      <c r="F219" s="9"/>
      <c r="G219" s="9"/>
      <c r="H219" s="9"/>
      <c r="I219" s="9"/>
      <c r="J219" s="9"/>
      <c r="K219" s="9"/>
      <c r="L219" s="9"/>
    </row>
    <row r="220" spans="1:12" x14ac:dyDescent="0.25">
      <c r="A220" s="25"/>
      <c r="E220" s="9"/>
      <c r="F220" s="9"/>
      <c r="G220" s="9"/>
      <c r="H220" s="9"/>
      <c r="I220" s="9"/>
      <c r="J220" s="9"/>
      <c r="K220" s="9"/>
      <c r="L220" s="9"/>
    </row>
    <row r="221" spans="1:12" x14ac:dyDescent="0.25">
      <c r="A221" s="25"/>
      <c r="E221" s="9"/>
      <c r="F221" s="9"/>
      <c r="G221" s="9"/>
      <c r="H221" s="9"/>
      <c r="I221" s="9"/>
      <c r="J221" s="9"/>
      <c r="K221" s="9"/>
      <c r="L221" s="9"/>
    </row>
    <row r="222" spans="1:12" x14ac:dyDescent="0.25">
      <c r="E222" s="9"/>
      <c r="F222" s="9"/>
      <c r="G222" s="9"/>
      <c r="H222" s="9"/>
      <c r="I222" s="9"/>
      <c r="J222" s="9"/>
      <c r="K222" s="9"/>
      <c r="L222" s="9"/>
    </row>
    <row r="223" spans="1:12" x14ac:dyDescent="0.25">
      <c r="E223" s="9"/>
      <c r="F223" s="9"/>
      <c r="G223" s="9"/>
      <c r="H223" s="9"/>
      <c r="I223" s="9"/>
      <c r="J223" s="9"/>
      <c r="K223" s="9"/>
      <c r="L223" s="9"/>
    </row>
    <row r="224" spans="1:12" x14ac:dyDescent="0.25">
      <c r="E224" s="9"/>
      <c r="F224" s="9"/>
      <c r="G224" s="9"/>
      <c r="H224" s="9"/>
      <c r="I224" s="9"/>
      <c r="J224" s="9"/>
      <c r="K224" s="9"/>
      <c r="L224" s="9"/>
    </row>
    <row r="225" spans="1:12" x14ac:dyDescent="0.25">
      <c r="E225" s="9"/>
      <c r="F225" s="9"/>
      <c r="G225" s="9"/>
      <c r="H225" s="9"/>
      <c r="I225" s="9"/>
      <c r="J225" s="9"/>
      <c r="K225" s="9"/>
      <c r="L225" s="9"/>
    </row>
    <row r="226" spans="1:12" x14ac:dyDescent="0.25">
      <c r="B226" s="4" t="s">
        <v>8</v>
      </c>
      <c r="E226" s="9"/>
      <c r="F226" s="9"/>
      <c r="G226" s="9"/>
      <c r="H226" s="9"/>
      <c r="I226" s="9"/>
      <c r="J226" s="9"/>
      <c r="K226" s="9"/>
      <c r="L226" s="9"/>
    </row>
    <row r="227" spans="1:12" x14ac:dyDescent="0.25">
      <c r="D227" s="10" t="s">
        <v>5</v>
      </c>
      <c r="E227" s="11">
        <f t="shared" ref="E227:L227" si="32">SUM(E216:E226)</f>
        <v>0</v>
      </c>
      <c r="F227" s="11">
        <f t="shared" si="32"/>
        <v>0</v>
      </c>
      <c r="G227" s="11">
        <f t="shared" si="32"/>
        <v>0</v>
      </c>
      <c r="H227" s="11">
        <f t="shared" si="32"/>
        <v>0</v>
      </c>
      <c r="I227" s="11">
        <f t="shared" si="32"/>
        <v>0</v>
      </c>
      <c r="J227" s="11">
        <f t="shared" si="32"/>
        <v>0</v>
      </c>
      <c r="K227" s="11">
        <f t="shared" si="32"/>
        <v>0</v>
      </c>
      <c r="L227" s="11">
        <f t="shared" si="32"/>
        <v>0</v>
      </c>
    </row>
    <row r="228" spans="1:12" x14ac:dyDescent="0.25">
      <c r="A228" s="25" t="s">
        <v>6</v>
      </c>
    </row>
    <row r="229" spans="1:12" x14ac:dyDescent="0.25">
      <c r="E229" s="9"/>
      <c r="F229" s="9"/>
      <c r="G229" s="9"/>
      <c r="H229" s="9"/>
      <c r="I229" s="9"/>
      <c r="J229" s="9"/>
      <c r="K229" s="9"/>
      <c r="L229" s="9"/>
    </row>
    <row r="230" spans="1:12" x14ac:dyDescent="0.25">
      <c r="E230" s="9"/>
      <c r="F230" s="9"/>
      <c r="G230" s="9"/>
      <c r="H230" s="9"/>
      <c r="I230" s="9"/>
      <c r="J230" s="9"/>
      <c r="K230" s="9"/>
      <c r="L230" s="9"/>
    </row>
    <row r="231" spans="1:12" x14ac:dyDescent="0.25">
      <c r="E231" s="9"/>
      <c r="F231" s="9"/>
      <c r="G231" s="9"/>
      <c r="H231" s="9"/>
      <c r="I231" s="9"/>
      <c r="J231" s="9"/>
      <c r="K231" s="9"/>
      <c r="L231" s="9"/>
    </row>
    <row r="232" spans="1:12" x14ac:dyDescent="0.25">
      <c r="E232" s="9"/>
      <c r="F232" s="9"/>
      <c r="G232" s="9"/>
      <c r="H232" s="9"/>
      <c r="I232" s="9"/>
      <c r="J232" s="9"/>
      <c r="K232" s="9"/>
      <c r="L232" s="9"/>
    </row>
    <row r="233" spans="1:12" x14ac:dyDescent="0.25">
      <c r="E233" s="9"/>
      <c r="F233" s="9"/>
      <c r="G233" s="9"/>
      <c r="H233" s="9"/>
      <c r="I233" s="9"/>
      <c r="J233" s="9"/>
      <c r="K233" s="9"/>
      <c r="L233" s="9"/>
    </row>
    <row r="234" spans="1:12" x14ac:dyDescent="0.25">
      <c r="E234" s="9"/>
      <c r="F234" s="9"/>
      <c r="G234" s="9"/>
      <c r="H234" s="9"/>
      <c r="I234" s="9"/>
      <c r="J234" s="9"/>
      <c r="K234" s="9"/>
      <c r="L234" s="9"/>
    </row>
    <row r="235" spans="1:12" x14ac:dyDescent="0.25">
      <c r="E235" s="9"/>
      <c r="F235" s="9"/>
      <c r="G235" s="9"/>
      <c r="H235" s="9"/>
      <c r="I235" s="9"/>
      <c r="J235" s="9"/>
      <c r="K235" s="9"/>
      <c r="L235" s="9"/>
    </row>
    <row r="236" spans="1:12" x14ac:dyDescent="0.25">
      <c r="E236" s="9"/>
      <c r="F236" s="9"/>
      <c r="G236" s="9"/>
      <c r="H236" s="9"/>
      <c r="I236" s="9"/>
      <c r="J236" s="9"/>
      <c r="K236" s="9"/>
      <c r="L236" s="9"/>
    </row>
    <row r="237" spans="1:12" x14ac:dyDescent="0.25">
      <c r="E237" s="9"/>
      <c r="F237" s="9"/>
      <c r="G237" s="9"/>
      <c r="H237" s="9"/>
      <c r="I237" s="9"/>
      <c r="J237" s="9"/>
      <c r="K237" s="9"/>
      <c r="L237" s="9"/>
    </row>
    <row r="238" spans="1:12" x14ac:dyDescent="0.25">
      <c r="E238" s="9"/>
      <c r="F238" s="9"/>
      <c r="G238" s="9"/>
      <c r="H238" s="9"/>
      <c r="I238" s="9"/>
      <c r="J238" s="9"/>
      <c r="K238" s="9"/>
      <c r="L238" s="9"/>
    </row>
    <row r="239" spans="1:12" x14ac:dyDescent="0.25">
      <c r="E239" s="9"/>
      <c r="F239" s="9"/>
      <c r="G239" s="9"/>
      <c r="H239" s="9"/>
      <c r="I239" s="9"/>
      <c r="J239" s="9"/>
      <c r="K239" s="9"/>
      <c r="L239" s="9"/>
    </row>
    <row r="240" spans="1:12" x14ac:dyDescent="0.25">
      <c r="E240" s="9"/>
      <c r="F240" s="9"/>
      <c r="G240" s="9"/>
      <c r="H240" s="9"/>
      <c r="I240" s="9"/>
      <c r="J240" s="9"/>
      <c r="K240" s="9"/>
      <c r="L240" s="9"/>
    </row>
    <row r="241" spans="1:12" x14ac:dyDescent="0.25">
      <c r="E241" s="9"/>
      <c r="F241" s="9"/>
      <c r="G241" s="9"/>
      <c r="H241" s="9"/>
      <c r="I241" s="9"/>
      <c r="J241" s="9"/>
      <c r="K241" s="9"/>
      <c r="L241" s="9"/>
    </row>
    <row r="242" spans="1:12" x14ac:dyDescent="0.25">
      <c r="B242" s="4" t="s">
        <v>8</v>
      </c>
      <c r="E242" s="9"/>
      <c r="F242" s="9"/>
      <c r="G242" s="9"/>
      <c r="H242" s="9"/>
      <c r="I242" s="9"/>
      <c r="J242" s="9"/>
      <c r="K242" s="9"/>
      <c r="L242" s="9"/>
    </row>
    <row r="243" spans="1:12" x14ac:dyDescent="0.25">
      <c r="D243" s="10" t="s">
        <v>7</v>
      </c>
      <c r="E243" s="11">
        <f t="shared" ref="E243:L243" si="33">SUM(E229:E242)</f>
        <v>0</v>
      </c>
      <c r="F243" s="11">
        <f t="shared" si="33"/>
        <v>0</v>
      </c>
      <c r="G243" s="11">
        <f t="shared" si="33"/>
        <v>0</v>
      </c>
      <c r="H243" s="11">
        <f t="shared" si="33"/>
        <v>0</v>
      </c>
      <c r="I243" s="11">
        <f t="shared" si="33"/>
        <v>0</v>
      </c>
      <c r="J243" s="11">
        <f t="shared" si="33"/>
        <v>0</v>
      </c>
      <c r="K243" s="11">
        <f t="shared" si="33"/>
        <v>0</v>
      </c>
      <c r="L243" s="11">
        <f t="shared" si="33"/>
        <v>0</v>
      </c>
    </row>
    <row r="244" spans="1:12" x14ac:dyDescent="0.25">
      <c r="D244" s="8" t="s">
        <v>9</v>
      </c>
      <c r="E244" s="4">
        <f>+E227-E243</f>
        <v>0</v>
      </c>
      <c r="F244" s="4">
        <f t="shared" ref="F244:L244" si="34">+F227-F243</f>
        <v>0</v>
      </c>
      <c r="G244" s="4">
        <f t="shared" si="34"/>
        <v>0</v>
      </c>
      <c r="H244" s="4">
        <f t="shared" si="34"/>
        <v>0</v>
      </c>
      <c r="I244" s="4">
        <f t="shared" si="34"/>
        <v>0</v>
      </c>
      <c r="J244" s="4">
        <f t="shared" si="34"/>
        <v>0</v>
      </c>
      <c r="K244" s="4">
        <f t="shared" si="34"/>
        <v>0</v>
      </c>
      <c r="L244" s="4">
        <f t="shared" si="34"/>
        <v>0</v>
      </c>
    </row>
    <row r="245" spans="1:12" ht="13.8" thickBot="1" x14ac:dyDescent="0.3">
      <c r="D245" s="8" t="s">
        <v>10</v>
      </c>
      <c r="E245" s="12">
        <f>+E215+E244</f>
        <v>0</v>
      </c>
      <c r="F245" s="12">
        <f t="shared" ref="F245:L245" si="35">+F215+F244</f>
        <v>0</v>
      </c>
      <c r="G245" s="12">
        <f t="shared" si="35"/>
        <v>0</v>
      </c>
      <c r="H245" s="12">
        <f t="shared" si="35"/>
        <v>0</v>
      </c>
      <c r="I245" s="12">
        <f t="shared" si="35"/>
        <v>0</v>
      </c>
      <c r="J245" s="12">
        <f t="shared" si="35"/>
        <v>0</v>
      </c>
      <c r="K245" s="12">
        <f t="shared" si="35"/>
        <v>0</v>
      </c>
      <c r="L245" s="12">
        <f t="shared" si="35"/>
        <v>0</v>
      </c>
    </row>
    <row r="246" spans="1:12" ht="13.8" thickTop="1" x14ac:dyDescent="0.25"/>
    <row r="247" spans="1:12" x14ac:dyDescent="0.25">
      <c r="A247" s="29" t="str">
        <f>Grunddaten!B63</f>
        <v>Bank 8</v>
      </c>
      <c r="B247" s="30"/>
      <c r="C247" s="30"/>
      <c r="D247" s="30"/>
      <c r="E247" s="8" t="s">
        <v>1</v>
      </c>
      <c r="F247" s="15">
        <f>+Grunddaten!D63</f>
        <v>0</v>
      </c>
      <c r="G247" s="7"/>
      <c r="H247" s="7"/>
    </row>
    <row r="248" spans="1:12" x14ac:dyDescent="0.25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D249" s="8" t="s">
        <v>12</v>
      </c>
      <c r="E249" s="9"/>
      <c r="F249" s="4">
        <f t="shared" ref="F249:L249" si="36">+E279</f>
        <v>0</v>
      </c>
      <c r="G249" s="4">
        <f t="shared" si="36"/>
        <v>0</v>
      </c>
      <c r="H249" s="4">
        <f t="shared" si="36"/>
        <v>0</v>
      </c>
      <c r="I249" s="4">
        <f t="shared" si="36"/>
        <v>0</v>
      </c>
      <c r="J249" s="4">
        <f t="shared" si="36"/>
        <v>0</v>
      </c>
      <c r="K249" s="4">
        <f t="shared" si="36"/>
        <v>0</v>
      </c>
      <c r="L249" s="4">
        <f t="shared" si="36"/>
        <v>0</v>
      </c>
    </row>
    <row r="250" spans="1:12" x14ac:dyDescent="0.25">
      <c r="A250" s="25" t="s">
        <v>4</v>
      </c>
      <c r="E250" s="9"/>
      <c r="F250" s="9"/>
      <c r="G250" s="9"/>
      <c r="H250" s="9"/>
      <c r="I250" s="9"/>
      <c r="J250" s="9"/>
      <c r="K250" s="9"/>
      <c r="L250" s="9"/>
    </row>
    <row r="251" spans="1:12" x14ac:dyDescent="0.25">
      <c r="A251" s="25"/>
      <c r="E251" s="9"/>
      <c r="F251" s="9"/>
      <c r="G251" s="9"/>
      <c r="H251" s="9"/>
      <c r="I251" s="9"/>
      <c r="J251" s="9"/>
      <c r="K251" s="9"/>
      <c r="L251" s="9"/>
    </row>
    <row r="252" spans="1:12" x14ac:dyDescent="0.25">
      <c r="A252" s="25"/>
      <c r="E252" s="9"/>
      <c r="F252" s="9"/>
      <c r="G252" s="9"/>
      <c r="H252" s="9"/>
      <c r="I252" s="9"/>
      <c r="J252" s="9"/>
      <c r="K252" s="9"/>
      <c r="L252" s="9"/>
    </row>
    <row r="253" spans="1:12" x14ac:dyDescent="0.25">
      <c r="A253" s="25"/>
      <c r="E253" s="9"/>
      <c r="F253" s="9"/>
      <c r="G253" s="9"/>
      <c r="H253" s="9"/>
      <c r="I253" s="9"/>
      <c r="J253" s="9"/>
      <c r="K253" s="9"/>
      <c r="L253" s="9"/>
    </row>
    <row r="254" spans="1:12" x14ac:dyDescent="0.25">
      <c r="A254" s="25"/>
      <c r="E254" s="9"/>
      <c r="F254" s="9"/>
      <c r="G254" s="9"/>
      <c r="H254" s="9"/>
      <c r="I254" s="9"/>
      <c r="J254" s="9"/>
      <c r="K254" s="9"/>
      <c r="L254" s="9"/>
    </row>
    <row r="255" spans="1:12" x14ac:dyDescent="0.25">
      <c r="A255" s="25"/>
      <c r="E255" s="9"/>
      <c r="F255" s="9"/>
      <c r="G255" s="9"/>
      <c r="H255" s="9"/>
      <c r="I255" s="9"/>
      <c r="J255" s="9"/>
      <c r="K255" s="9"/>
      <c r="L255" s="9"/>
    </row>
    <row r="256" spans="1:12" x14ac:dyDescent="0.25">
      <c r="E256" s="9"/>
      <c r="F256" s="9"/>
      <c r="G256" s="9"/>
      <c r="H256" s="9"/>
      <c r="I256" s="9"/>
      <c r="J256" s="9"/>
      <c r="K256" s="9"/>
      <c r="L256" s="9"/>
    </row>
    <row r="257" spans="1:12" x14ac:dyDescent="0.25">
      <c r="E257" s="9"/>
      <c r="F257" s="9"/>
      <c r="G257" s="9"/>
      <c r="H257" s="9"/>
      <c r="I257" s="9"/>
      <c r="J257" s="9"/>
      <c r="K257" s="9"/>
      <c r="L257" s="9"/>
    </row>
    <row r="258" spans="1:12" x14ac:dyDescent="0.25">
      <c r="E258" s="9"/>
      <c r="F258" s="9"/>
      <c r="G258" s="9"/>
      <c r="H258" s="9"/>
      <c r="I258" s="9"/>
      <c r="J258" s="9"/>
      <c r="K258" s="9"/>
      <c r="L258" s="9"/>
    </row>
    <row r="259" spans="1:12" x14ac:dyDescent="0.25">
      <c r="E259" s="9"/>
      <c r="F259" s="9"/>
      <c r="G259" s="9"/>
      <c r="H259" s="9"/>
      <c r="I259" s="9"/>
      <c r="J259" s="9"/>
      <c r="K259" s="9"/>
      <c r="L259" s="9"/>
    </row>
    <row r="260" spans="1:12" x14ac:dyDescent="0.25">
      <c r="B260" s="4" t="s">
        <v>8</v>
      </c>
      <c r="E260" s="9"/>
      <c r="F260" s="9"/>
      <c r="G260" s="9"/>
      <c r="H260" s="9"/>
      <c r="I260" s="9"/>
      <c r="J260" s="9"/>
      <c r="K260" s="9"/>
      <c r="L260" s="9"/>
    </row>
    <row r="261" spans="1:12" x14ac:dyDescent="0.25">
      <c r="D261" s="10" t="s">
        <v>5</v>
      </c>
      <c r="E261" s="11">
        <f t="shared" ref="E261:L261" si="37">SUM(E250:E260)</f>
        <v>0</v>
      </c>
      <c r="F261" s="11">
        <f t="shared" si="37"/>
        <v>0</v>
      </c>
      <c r="G261" s="11">
        <f t="shared" si="37"/>
        <v>0</v>
      </c>
      <c r="H261" s="11">
        <f t="shared" si="37"/>
        <v>0</v>
      </c>
      <c r="I261" s="11">
        <f t="shared" si="37"/>
        <v>0</v>
      </c>
      <c r="J261" s="11">
        <f t="shared" si="37"/>
        <v>0</v>
      </c>
      <c r="K261" s="11">
        <f t="shared" si="37"/>
        <v>0</v>
      </c>
      <c r="L261" s="11">
        <f t="shared" si="37"/>
        <v>0</v>
      </c>
    </row>
    <row r="262" spans="1:12" x14ac:dyDescent="0.25">
      <c r="A262" s="25" t="s">
        <v>6</v>
      </c>
    </row>
    <row r="263" spans="1:12" x14ac:dyDescent="0.25">
      <c r="E263" s="9"/>
      <c r="F263" s="9"/>
      <c r="G263" s="9"/>
      <c r="H263" s="9"/>
      <c r="I263" s="9"/>
      <c r="J263" s="9"/>
      <c r="K263" s="9"/>
      <c r="L263" s="9"/>
    </row>
    <row r="264" spans="1:12" x14ac:dyDescent="0.25">
      <c r="E264" s="9"/>
      <c r="F264" s="9"/>
      <c r="G264" s="9"/>
      <c r="H264" s="9"/>
      <c r="I264" s="9"/>
      <c r="J264" s="9"/>
      <c r="K264" s="9"/>
      <c r="L264" s="9"/>
    </row>
    <row r="265" spans="1:12" x14ac:dyDescent="0.25">
      <c r="E265" s="9"/>
      <c r="F265" s="9"/>
      <c r="G265" s="9"/>
      <c r="H265" s="9"/>
      <c r="I265" s="9"/>
      <c r="J265" s="9"/>
      <c r="K265" s="9"/>
      <c r="L265" s="9"/>
    </row>
    <row r="266" spans="1:12" x14ac:dyDescent="0.25">
      <c r="E266" s="9"/>
      <c r="F266" s="9"/>
      <c r="G266" s="9"/>
      <c r="H266" s="9"/>
      <c r="I266" s="9"/>
      <c r="J266" s="9"/>
      <c r="K266" s="9"/>
      <c r="L266" s="9"/>
    </row>
    <row r="267" spans="1:12" x14ac:dyDescent="0.25">
      <c r="E267" s="9"/>
      <c r="F267" s="9"/>
      <c r="G267" s="9"/>
      <c r="H267" s="9"/>
      <c r="I267" s="9"/>
      <c r="J267" s="9"/>
      <c r="K267" s="9"/>
      <c r="L267" s="9"/>
    </row>
    <row r="268" spans="1:12" x14ac:dyDescent="0.25">
      <c r="E268" s="9"/>
      <c r="F268" s="9"/>
      <c r="G268" s="9"/>
      <c r="H268" s="9"/>
      <c r="I268" s="9"/>
      <c r="J268" s="9"/>
      <c r="K268" s="9"/>
      <c r="L268" s="9"/>
    </row>
    <row r="269" spans="1:12" x14ac:dyDescent="0.25">
      <c r="E269" s="9"/>
      <c r="F269" s="9"/>
      <c r="G269" s="9"/>
      <c r="H269" s="9"/>
      <c r="I269" s="9"/>
      <c r="J269" s="9"/>
      <c r="K269" s="9"/>
      <c r="L269" s="9"/>
    </row>
    <row r="270" spans="1:12" x14ac:dyDescent="0.25">
      <c r="E270" s="9"/>
      <c r="F270" s="9"/>
      <c r="G270" s="9"/>
      <c r="H270" s="9"/>
      <c r="I270" s="9"/>
      <c r="J270" s="9"/>
      <c r="K270" s="9"/>
      <c r="L270" s="9"/>
    </row>
    <row r="271" spans="1:12" x14ac:dyDescent="0.25">
      <c r="E271" s="9"/>
      <c r="F271" s="9"/>
      <c r="G271" s="9"/>
      <c r="H271" s="9"/>
      <c r="I271" s="9"/>
      <c r="J271" s="9"/>
      <c r="K271" s="9"/>
      <c r="L271" s="9"/>
    </row>
    <row r="272" spans="1:12" x14ac:dyDescent="0.25">
      <c r="E272" s="9"/>
      <c r="F272" s="9"/>
      <c r="G272" s="9"/>
      <c r="H272" s="9"/>
      <c r="I272" s="9"/>
      <c r="J272" s="9"/>
      <c r="K272" s="9"/>
      <c r="L272" s="9"/>
    </row>
    <row r="273" spans="1:12" x14ac:dyDescent="0.25">
      <c r="E273" s="9"/>
      <c r="F273" s="9"/>
      <c r="G273" s="9"/>
      <c r="H273" s="9"/>
      <c r="I273" s="9"/>
      <c r="J273" s="9"/>
      <c r="K273" s="9"/>
      <c r="L273" s="9"/>
    </row>
    <row r="274" spans="1:12" x14ac:dyDescent="0.25">
      <c r="E274" s="9"/>
      <c r="F274" s="9"/>
      <c r="G274" s="9"/>
      <c r="H274" s="9"/>
      <c r="I274" s="9"/>
      <c r="J274" s="9"/>
      <c r="K274" s="9"/>
      <c r="L274" s="9"/>
    </row>
    <row r="275" spans="1:12" x14ac:dyDescent="0.25">
      <c r="E275" s="9"/>
      <c r="F275" s="9"/>
      <c r="G275" s="9"/>
      <c r="H275" s="9"/>
      <c r="I275" s="9"/>
      <c r="J275" s="9"/>
      <c r="K275" s="9"/>
      <c r="L275" s="9"/>
    </row>
    <row r="276" spans="1:12" x14ac:dyDescent="0.25">
      <c r="B276" s="4" t="s">
        <v>8</v>
      </c>
      <c r="E276" s="9"/>
      <c r="F276" s="9"/>
      <c r="G276" s="9"/>
      <c r="H276" s="9"/>
      <c r="I276" s="9"/>
      <c r="J276" s="9"/>
      <c r="K276" s="9"/>
      <c r="L276" s="9"/>
    </row>
    <row r="277" spans="1:12" x14ac:dyDescent="0.25">
      <c r="D277" s="10" t="s">
        <v>7</v>
      </c>
      <c r="E277" s="11">
        <f t="shared" ref="E277:L277" si="38">SUM(E263:E276)</f>
        <v>0</v>
      </c>
      <c r="F277" s="11">
        <f t="shared" si="38"/>
        <v>0</v>
      </c>
      <c r="G277" s="11">
        <f t="shared" si="38"/>
        <v>0</v>
      </c>
      <c r="H277" s="11">
        <f t="shared" si="38"/>
        <v>0</v>
      </c>
      <c r="I277" s="11">
        <f t="shared" si="38"/>
        <v>0</v>
      </c>
      <c r="J277" s="11">
        <f t="shared" si="38"/>
        <v>0</v>
      </c>
      <c r="K277" s="11">
        <f t="shared" si="38"/>
        <v>0</v>
      </c>
      <c r="L277" s="11">
        <f t="shared" si="38"/>
        <v>0</v>
      </c>
    </row>
    <row r="278" spans="1:12" x14ac:dyDescent="0.25">
      <c r="D278" s="8" t="s">
        <v>9</v>
      </c>
      <c r="E278" s="4">
        <f t="shared" ref="E278:L278" si="39">+E261-E277</f>
        <v>0</v>
      </c>
      <c r="F278" s="4">
        <f t="shared" si="39"/>
        <v>0</v>
      </c>
      <c r="G278" s="4">
        <f t="shared" si="39"/>
        <v>0</v>
      </c>
      <c r="H278" s="4">
        <f t="shared" si="39"/>
        <v>0</v>
      </c>
      <c r="I278" s="4">
        <f t="shared" si="39"/>
        <v>0</v>
      </c>
      <c r="J278" s="4">
        <f t="shared" si="39"/>
        <v>0</v>
      </c>
      <c r="K278" s="4">
        <f t="shared" si="39"/>
        <v>0</v>
      </c>
      <c r="L278" s="4">
        <f t="shared" si="39"/>
        <v>0</v>
      </c>
    </row>
    <row r="279" spans="1:12" ht="13.8" thickBot="1" x14ac:dyDescent="0.3">
      <c r="D279" s="8" t="s">
        <v>10</v>
      </c>
      <c r="E279" s="12">
        <f t="shared" ref="E279:L279" si="40">+E249+E278</f>
        <v>0</v>
      </c>
      <c r="F279" s="12">
        <f t="shared" si="40"/>
        <v>0</v>
      </c>
      <c r="G279" s="12">
        <f t="shared" si="40"/>
        <v>0</v>
      </c>
      <c r="H279" s="12">
        <f t="shared" si="40"/>
        <v>0</v>
      </c>
      <c r="I279" s="12">
        <f t="shared" si="40"/>
        <v>0</v>
      </c>
      <c r="J279" s="12">
        <f t="shared" si="40"/>
        <v>0</v>
      </c>
      <c r="K279" s="12">
        <f t="shared" si="40"/>
        <v>0</v>
      </c>
      <c r="L279" s="12">
        <f t="shared" si="40"/>
        <v>0</v>
      </c>
    </row>
    <row r="280" spans="1:12" ht="13.8" thickTop="1" x14ac:dyDescent="0.25">
      <c r="D280" s="8"/>
    </row>
    <row r="281" spans="1:12" x14ac:dyDescent="0.25">
      <c r="A281" s="29" t="str">
        <f>Grunddaten!B64</f>
        <v>Bank 9</v>
      </c>
      <c r="B281" s="30"/>
      <c r="C281" s="30"/>
      <c r="D281" s="30"/>
      <c r="E281" s="8" t="s">
        <v>1</v>
      </c>
      <c r="F281" s="15">
        <f>+Grunddaten!D64</f>
        <v>0</v>
      </c>
      <c r="G281" s="7"/>
      <c r="H281" s="7"/>
    </row>
    <row r="282" spans="1:12" x14ac:dyDescent="0.25">
      <c r="A282" s="2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x14ac:dyDescent="0.25">
      <c r="D283" s="8" t="s">
        <v>12</v>
      </c>
      <c r="E283" s="9">
        <v>298.89999999999998</v>
      </c>
      <c r="F283" s="4">
        <f t="shared" ref="F283:L283" si="41">+E313</f>
        <v>298.89999999999998</v>
      </c>
      <c r="G283" s="4">
        <f t="shared" si="41"/>
        <v>298.89999999999998</v>
      </c>
      <c r="H283" s="4">
        <f t="shared" si="41"/>
        <v>298.89999999999998</v>
      </c>
      <c r="I283" s="4">
        <f t="shared" si="41"/>
        <v>298.89999999999998</v>
      </c>
      <c r="J283" s="4">
        <f t="shared" si="41"/>
        <v>298.89999999999998</v>
      </c>
      <c r="K283" s="4">
        <f t="shared" si="41"/>
        <v>298.89999999999998</v>
      </c>
      <c r="L283" s="4">
        <f t="shared" si="41"/>
        <v>298.89999999999998</v>
      </c>
    </row>
    <row r="284" spans="1:12" x14ac:dyDescent="0.25">
      <c r="A284" s="25" t="s">
        <v>4</v>
      </c>
      <c r="E284" s="9"/>
      <c r="F284" s="9"/>
      <c r="G284" s="9"/>
      <c r="H284" s="9"/>
      <c r="I284" s="9"/>
      <c r="J284" s="9"/>
      <c r="K284" s="9"/>
      <c r="L284" s="9"/>
    </row>
    <row r="285" spans="1:12" x14ac:dyDescent="0.25">
      <c r="A285" s="25"/>
      <c r="E285" s="9"/>
      <c r="F285" s="9"/>
      <c r="G285" s="9"/>
      <c r="H285" s="9"/>
      <c r="I285" s="9"/>
      <c r="J285" s="9"/>
      <c r="K285" s="9"/>
      <c r="L285" s="9"/>
    </row>
    <row r="286" spans="1:12" x14ac:dyDescent="0.25">
      <c r="A286" s="25"/>
      <c r="B286" s="4" t="s">
        <v>113</v>
      </c>
      <c r="E286" s="9"/>
      <c r="F286" s="9"/>
      <c r="G286" s="9"/>
      <c r="H286" s="9"/>
      <c r="I286" s="9"/>
      <c r="J286" s="9"/>
      <c r="K286" s="9"/>
      <c r="L286" s="9"/>
    </row>
    <row r="287" spans="1:12" x14ac:dyDescent="0.25">
      <c r="A287" s="25"/>
      <c r="B287" s="4" t="s">
        <v>153</v>
      </c>
      <c r="E287" s="9"/>
      <c r="F287" s="9"/>
      <c r="G287" s="9"/>
      <c r="H287" s="9"/>
      <c r="I287" s="9"/>
      <c r="J287" s="9"/>
      <c r="K287" s="9"/>
      <c r="L287" s="9"/>
    </row>
    <row r="288" spans="1:12" x14ac:dyDescent="0.25">
      <c r="A288" s="25"/>
      <c r="E288" s="9"/>
      <c r="F288" s="9"/>
      <c r="G288" s="9"/>
      <c r="H288" s="9"/>
      <c r="I288" s="9"/>
      <c r="J288" s="9"/>
      <c r="K288" s="9"/>
      <c r="L288" s="9"/>
    </row>
    <row r="289" spans="1:12" x14ac:dyDescent="0.25">
      <c r="A289" s="25"/>
      <c r="E289" s="9"/>
      <c r="F289" s="9"/>
      <c r="G289" s="9"/>
      <c r="H289" s="9"/>
      <c r="I289" s="9"/>
      <c r="J289" s="9"/>
      <c r="K289" s="9"/>
      <c r="L289" s="9"/>
    </row>
    <row r="290" spans="1:12" x14ac:dyDescent="0.25">
      <c r="E290" s="9"/>
      <c r="F290" s="9"/>
      <c r="G290" s="9"/>
      <c r="H290" s="9"/>
      <c r="I290" s="9"/>
      <c r="J290" s="9"/>
      <c r="K290" s="9"/>
      <c r="L290" s="9"/>
    </row>
    <row r="291" spans="1:12" x14ac:dyDescent="0.25">
      <c r="E291" s="9"/>
      <c r="F291" s="9"/>
      <c r="G291" s="9"/>
      <c r="H291" s="9"/>
      <c r="I291" s="9"/>
      <c r="J291" s="9"/>
      <c r="K291" s="9"/>
      <c r="L291" s="9"/>
    </row>
    <row r="292" spans="1:12" x14ac:dyDescent="0.25">
      <c r="E292" s="9"/>
      <c r="F292" s="9"/>
      <c r="G292" s="9"/>
      <c r="H292" s="9"/>
      <c r="I292" s="9"/>
      <c r="J292" s="9"/>
      <c r="K292" s="9"/>
      <c r="L292" s="9"/>
    </row>
    <row r="293" spans="1:12" x14ac:dyDescent="0.25">
      <c r="E293" s="9"/>
      <c r="F293" s="9"/>
      <c r="G293" s="9"/>
      <c r="H293" s="9"/>
      <c r="I293" s="9"/>
      <c r="J293" s="9"/>
      <c r="K293" s="9"/>
      <c r="L293" s="9"/>
    </row>
    <row r="294" spans="1:12" x14ac:dyDescent="0.25">
      <c r="B294" s="4" t="s">
        <v>8</v>
      </c>
      <c r="E294" s="9"/>
      <c r="F294" s="9"/>
      <c r="G294" s="9"/>
      <c r="H294" s="9"/>
      <c r="I294" s="9"/>
      <c r="J294" s="9"/>
      <c r="K294" s="9"/>
      <c r="L294" s="9"/>
    </row>
    <row r="295" spans="1:12" x14ac:dyDescent="0.25">
      <c r="D295" s="10" t="s">
        <v>5</v>
      </c>
      <c r="E295" s="11">
        <f t="shared" ref="E295:L295" si="42">SUM(E284:E294)</f>
        <v>0</v>
      </c>
      <c r="F295" s="11">
        <f t="shared" si="42"/>
        <v>0</v>
      </c>
      <c r="G295" s="11">
        <f t="shared" si="42"/>
        <v>0</v>
      </c>
      <c r="H295" s="11">
        <f t="shared" si="42"/>
        <v>0</v>
      </c>
      <c r="I295" s="11">
        <f t="shared" si="42"/>
        <v>0</v>
      </c>
      <c r="J295" s="11">
        <f t="shared" si="42"/>
        <v>0</v>
      </c>
      <c r="K295" s="11">
        <f t="shared" si="42"/>
        <v>0</v>
      </c>
      <c r="L295" s="11">
        <f t="shared" si="42"/>
        <v>0</v>
      </c>
    </row>
    <row r="296" spans="1:12" x14ac:dyDescent="0.25">
      <c r="A296" s="25" t="s">
        <v>6</v>
      </c>
    </row>
    <row r="297" spans="1:12" x14ac:dyDescent="0.25">
      <c r="E297" s="9"/>
      <c r="F297" s="9"/>
      <c r="G297" s="9"/>
      <c r="H297" s="9"/>
      <c r="I297" s="9"/>
      <c r="J297" s="9"/>
      <c r="K297" s="9"/>
      <c r="L297" s="9"/>
    </row>
    <row r="298" spans="1:12" x14ac:dyDescent="0.25">
      <c r="B298" s="4" t="s">
        <v>154</v>
      </c>
      <c r="E298" s="9"/>
      <c r="F298" s="9"/>
      <c r="G298" s="9"/>
      <c r="H298" s="9"/>
      <c r="I298" s="9"/>
      <c r="J298" s="9"/>
      <c r="K298" s="9"/>
      <c r="L298" s="9"/>
    </row>
    <row r="299" spans="1:12" x14ac:dyDescent="0.25">
      <c r="E299" s="9"/>
      <c r="F299" s="9"/>
      <c r="G299" s="9"/>
      <c r="H299" s="9"/>
      <c r="I299" s="9"/>
      <c r="J299" s="9"/>
      <c r="K299" s="9"/>
      <c r="L299" s="9"/>
    </row>
    <row r="300" spans="1:12" x14ac:dyDescent="0.25">
      <c r="E300" s="9"/>
      <c r="F300" s="9"/>
      <c r="G300" s="9"/>
      <c r="H300" s="9"/>
      <c r="I300" s="9"/>
      <c r="J300" s="9"/>
      <c r="K300" s="9"/>
      <c r="L300" s="9"/>
    </row>
    <row r="301" spans="1:12" x14ac:dyDescent="0.25">
      <c r="E301" s="9"/>
      <c r="F301" s="9"/>
      <c r="G301" s="9"/>
      <c r="H301" s="9"/>
      <c r="I301" s="9"/>
      <c r="J301" s="9"/>
      <c r="K301" s="9"/>
      <c r="L301" s="9"/>
    </row>
    <row r="302" spans="1:12" x14ac:dyDescent="0.25">
      <c r="E302" s="9"/>
      <c r="F302" s="9"/>
      <c r="G302" s="9"/>
      <c r="H302" s="9"/>
      <c r="I302" s="9"/>
      <c r="J302" s="9"/>
      <c r="K302" s="9"/>
      <c r="L302" s="9"/>
    </row>
    <row r="303" spans="1:12" x14ac:dyDescent="0.25">
      <c r="E303" s="9"/>
      <c r="F303" s="9"/>
      <c r="G303" s="9"/>
      <c r="H303" s="9"/>
      <c r="I303" s="9"/>
      <c r="J303" s="9"/>
      <c r="K303" s="9"/>
      <c r="L303" s="9"/>
    </row>
    <row r="304" spans="1:12" x14ac:dyDescent="0.25">
      <c r="E304" s="9"/>
      <c r="F304" s="9"/>
      <c r="G304" s="9"/>
      <c r="H304" s="9"/>
      <c r="I304" s="9"/>
      <c r="J304" s="9"/>
      <c r="K304" s="9"/>
      <c r="L304" s="9"/>
    </row>
    <row r="305" spans="2:12" x14ac:dyDescent="0.25">
      <c r="E305" s="9"/>
      <c r="F305" s="9"/>
      <c r="G305" s="9"/>
      <c r="H305" s="9"/>
      <c r="I305" s="9"/>
      <c r="J305" s="9"/>
      <c r="K305" s="9"/>
      <c r="L305" s="9"/>
    </row>
    <row r="306" spans="2:12" x14ac:dyDescent="0.25">
      <c r="E306" s="9"/>
      <c r="F306" s="9"/>
      <c r="G306" s="9"/>
      <c r="H306" s="9"/>
      <c r="I306" s="9"/>
      <c r="J306" s="9"/>
      <c r="K306" s="9"/>
      <c r="L306" s="9"/>
    </row>
    <row r="307" spans="2:12" x14ac:dyDescent="0.25">
      <c r="E307" s="9"/>
      <c r="F307" s="9"/>
      <c r="G307" s="9"/>
      <c r="H307" s="9"/>
      <c r="I307" s="9"/>
      <c r="J307" s="9"/>
      <c r="K307" s="9"/>
      <c r="L307" s="9"/>
    </row>
    <row r="308" spans="2:12" x14ac:dyDescent="0.25">
      <c r="E308" s="9"/>
      <c r="F308" s="9"/>
      <c r="G308" s="9"/>
      <c r="H308" s="9"/>
      <c r="I308" s="9"/>
      <c r="J308" s="9"/>
      <c r="K308" s="9"/>
      <c r="L308" s="9"/>
    </row>
    <row r="309" spans="2:12" x14ac:dyDescent="0.25">
      <c r="E309" s="9"/>
      <c r="F309" s="9"/>
      <c r="G309" s="9"/>
      <c r="H309" s="9"/>
      <c r="I309" s="9"/>
      <c r="J309" s="9"/>
      <c r="K309" s="9"/>
      <c r="L309" s="9"/>
    </row>
    <row r="310" spans="2:12" x14ac:dyDescent="0.25">
      <c r="B310" s="4" t="s">
        <v>8</v>
      </c>
      <c r="E310" s="9"/>
      <c r="F310" s="9"/>
      <c r="G310" s="9"/>
      <c r="H310" s="9"/>
      <c r="I310" s="9"/>
      <c r="J310" s="9"/>
      <c r="K310" s="9"/>
      <c r="L310" s="9"/>
    </row>
    <row r="311" spans="2:12" x14ac:dyDescent="0.25">
      <c r="D311" s="10" t="s">
        <v>7</v>
      </c>
      <c r="E311" s="11">
        <f t="shared" ref="E311:L311" si="43">SUM(E297:E310)</f>
        <v>0</v>
      </c>
      <c r="F311" s="11">
        <f t="shared" si="43"/>
        <v>0</v>
      </c>
      <c r="G311" s="11">
        <f t="shared" si="43"/>
        <v>0</v>
      </c>
      <c r="H311" s="11">
        <f t="shared" si="43"/>
        <v>0</v>
      </c>
      <c r="I311" s="11">
        <f t="shared" si="43"/>
        <v>0</v>
      </c>
      <c r="J311" s="11">
        <f t="shared" si="43"/>
        <v>0</v>
      </c>
      <c r="K311" s="11">
        <f t="shared" si="43"/>
        <v>0</v>
      </c>
      <c r="L311" s="11">
        <f t="shared" si="43"/>
        <v>0</v>
      </c>
    </row>
    <row r="312" spans="2:12" x14ac:dyDescent="0.25">
      <c r="D312" s="8" t="s">
        <v>9</v>
      </c>
      <c r="E312" s="4">
        <f t="shared" ref="E312:L312" si="44">+E295-E311</f>
        <v>0</v>
      </c>
      <c r="F312" s="4">
        <f t="shared" si="44"/>
        <v>0</v>
      </c>
      <c r="G312" s="4">
        <f t="shared" si="44"/>
        <v>0</v>
      </c>
      <c r="H312" s="4">
        <f t="shared" si="44"/>
        <v>0</v>
      </c>
      <c r="I312" s="4">
        <f t="shared" si="44"/>
        <v>0</v>
      </c>
      <c r="J312" s="4">
        <f t="shared" si="44"/>
        <v>0</v>
      </c>
      <c r="K312" s="4">
        <f t="shared" si="44"/>
        <v>0</v>
      </c>
      <c r="L312" s="4">
        <f t="shared" si="44"/>
        <v>0</v>
      </c>
    </row>
    <row r="313" spans="2:12" ht="13.8" thickBot="1" x14ac:dyDescent="0.3">
      <c r="D313" s="8" t="s">
        <v>10</v>
      </c>
      <c r="E313" s="12">
        <f t="shared" ref="E313:L313" si="45">+E283+E312</f>
        <v>298.89999999999998</v>
      </c>
      <c r="F313" s="12">
        <f t="shared" si="45"/>
        <v>298.89999999999998</v>
      </c>
      <c r="G313" s="12">
        <f t="shared" si="45"/>
        <v>298.89999999999998</v>
      </c>
      <c r="H313" s="12">
        <f t="shared" si="45"/>
        <v>298.89999999999998</v>
      </c>
      <c r="I313" s="12">
        <f t="shared" si="45"/>
        <v>298.89999999999998</v>
      </c>
      <c r="J313" s="12">
        <f t="shared" si="45"/>
        <v>298.89999999999998</v>
      </c>
      <c r="K313" s="12">
        <f t="shared" si="45"/>
        <v>298.89999999999998</v>
      </c>
      <c r="L313" s="12">
        <f t="shared" si="45"/>
        <v>298.89999999999998</v>
      </c>
    </row>
    <row r="314" spans="2:12" ht="13.8" thickTop="1" x14ac:dyDescent="0.25"/>
    <row r="315" spans="2:12" x14ac:dyDescent="0.25">
      <c r="D315" s="13" t="s">
        <v>14</v>
      </c>
      <c r="E315" s="4">
        <f t="shared" ref="E315:L315" si="46">E21-E38+E55-E72+E90-E106+E124-E140+E158-E174+E192-E208+E226-E242+E260-E276+E294-E310</f>
        <v>0</v>
      </c>
      <c r="F315" s="4">
        <f t="shared" si="46"/>
        <v>0</v>
      </c>
      <c r="G315" s="4">
        <f t="shared" si="46"/>
        <v>0</v>
      </c>
      <c r="H315" s="4">
        <f t="shared" si="46"/>
        <v>0</v>
      </c>
      <c r="I315" s="4">
        <f t="shared" si="46"/>
        <v>0</v>
      </c>
      <c r="J315" s="4">
        <f t="shared" si="46"/>
        <v>0</v>
      </c>
      <c r="K315" s="4">
        <f t="shared" si="46"/>
        <v>0</v>
      </c>
      <c r="L315" s="4">
        <f t="shared" si="46"/>
        <v>0</v>
      </c>
    </row>
    <row r="316" spans="2:12" x14ac:dyDescent="0.25">
      <c r="D316" s="14"/>
      <c r="E316" s="5" t="str">
        <f t="shared" ref="E316:L316" si="47">IF(E315=0,"i.O.","Fehler")</f>
        <v>i.O.</v>
      </c>
      <c r="F316" s="5" t="str">
        <f t="shared" si="47"/>
        <v>i.O.</v>
      </c>
      <c r="G316" s="5" t="str">
        <f t="shared" si="47"/>
        <v>i.O.</v>
      </c>
      <c r="H316" s="5" t="str">
        <f t="shared" si="47"/>
        <v>i.O.</v>
      </c>
      <c r="I316" s="5" t="str">
        <f t="shared" si="47"/>
        <v>i.O.</v>
      </c>
      <c r="J316" s="5" t="str">
        <f t="shared" si="47"/>
        <v>i.O.</v>
      </c>
      <c r="K316" s="5" t="str">
        <f t="shared" si="47"/>
        <v>i.O.</v>
      </c>
      <c r="L316" s="5" t="str">
        <f t="shared" si="47"/>
        <v>i.O.</v>
      </c>
    </row>
  </sheetData>
  <mergeCells count="5">
    <mergeCell ref="A281:D281"/>
    <mergeCell ref="A43:D43"/>
    <mergeCell ref="A179:D179"/>
    <mergeCell ref="A213:D213"/>
    <mergeCell ref="A247:D247"/>
  </mergeCells>
  <phoneticPr fontId="0" type="noConversion"/>
  <pageMargins left="0.78740157499999996" right="0.78740157499999996" top="0.48" bottom="0.53" header="0.4921259845" footer="0.22"/>
  <pageSetup paperSize="9" fitToHeight="0" orientation="landscape" r:id="rId1"/>
  <headerFooter alignWithMargins="0">
    <oddFooter>&amp;L&amp;F &amp;A&amp;R&amp;D &amp;T</oddFooter>
  </headerFooter>
  <rowBreaks count="2" manualBreakCount="2">
    <brk id="41" min="4" max="11" man="1"/>
    <brk id="280" min="4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11</vt:i4>
      </vt:variant>
    </vt:vector>
  </HeadingPairs>
  <TitlesOfParts>
    <vt:vector size="17" baseType="lpstr">
      <vt:lpstr>Grunddaten</vt:lpstr>
      <vt:lpstr>Standort 1</vt:lpstr>
      <vt:lpstr>Standort 2</vt:lpstr>
      <vt:lpstr>Standort 3</vt:lpstr>
      <vt:lpstr>Standort 4</vt:lpstr>
      <vt:lpstr>Holding</vt:lpstr>
      <vt:lpstr>Grunddaten!Druckbereich</vt:lpstr>
      <vt:lpstr>Holding!Druckbereich</vt:lpstr>
      <vt:lpstr>'Standort 1'!Druckbereich</vt:lpstr>
      <vt:lpstr>'Standort 2'!Druckbereich</vt:lpstr>
      <vt:lpstr>'Standort 3'!Druckbereich</vt:lpstr>
      <vt:lpstr>'Standort 4'!Druckbereich</vt:lpstr>
      <vt:lpstr>Holding!Drucktitel</vt:lpstr>
      <vt:lpstr>'Standort 1'!Drucktitel</vt:lpstr>
      <vt:lpstr>'Standort 2'!Drucktitel</vt:lpstr>
      <vt:lpstr>'Standort 3'!Drucktitel</vt:lpstr>
      <vt:lpstr>'Standort 4'!Drucktitel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Denneburg</cp:lastModifiedBy>
  <cp:lastPrinted>2006-09-11T07:55:04Z</cp:lastPrinted>
  <dcterms:created xsi:type="dcterms:W3CDTF">2005-10-10T16:25:44Z</dcterms:created>
  <dcterms:modified xsi:type="dcterms:W3CDTF">2025-08-14T09:45:10Z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