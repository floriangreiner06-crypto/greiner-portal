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M Daten\MSR\MSR-Projekte\Opel\OPL 16\04 Roll-Out\Roll-Out 2022\Region Süd\Greiner_Deggendorf\12 Liquiditätsplanung\"/>
    </mc:Choice>
  </mc:AlternateContent>
  <xr:revisionPtr revIDLastSave="0" documentId="8_{83D5CF0C-158E-4741-9C66-39D256F7C927}" xr6:coauthVersionLast="47" xr6:coauthVersionMax="47" xr10:uidLastSave="{00000000-0000-0000-0000-000000000000}"/>
  <bookViews>
    <workbookView xWindow="-110" yWindow="-110" windowWidth="19420" windowHeight="10300" xr2:uid="{C7A1F9F4-0E1D-48D7-97AA-647A47D6F70D}"/>
  </bookViews>
  <sheets>
    <sheet name="Li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C25" i="1"/>
  <c r="C29" i="1" s="1"/>
  <c r="E25" i="1"/>
  <c r="G25" i="1" s="1"/>
  <c r="B29" i="1"/>
  <c r="B32" i="1"/>
  <c r="I25" i="1" l="1"/>
  <c r="G29" i="1"/>
  <c r="E29" i="1"/>
  <c r="I29" i="1" l="1"/>
  <c r="K25" i="1"/>
  <c r="M25" i="1" l="1"/>
  <c r="K29" i="1"/>
  <c r="M29" i="1" l="1"/>
  <c r="O25" i="1"/>
  <c r="Q25" i="1" l="1"/>
  <c r="Q29" i="1" s="1"/>
  <c r="O29" i="1"/>
</calcChain>
</file>

<file path=xl/sharedStrings.xml><?xml version="1.0" encoding="utf-8"?>
<sst xmlns="http://schemas.openxmlformats.org/spreadsheetml/2006/main" count="44" uniqueCount="22">
  <si>
    <t>in rd. EUR</t>
  </si>
  <si>
    <t>Eingänge</t>
  </si>
  <si>
    <t>Ausgänge</t>
  </si>
  <si>
    <t>NW Auslieferg.</t>
  </si>
  <si>
    <t>Vfwg. Zul.</t>
  </si>
  <si>
    <t>GW Auslief.</t>
  </si>
  <si>
    <t>GW Auslief. Autoverleih</t>
  </si>
  <si>
    <t>Restgehalt/Gehälter</t>
  </si>
  <si>
    <t>Sozialvers.</t>
  </si>
  <si>
    <t>Steuer</t>
  </si>
  <si>
    <t>Lieferanten</t>
  </si>
  <si>
    <t>Werk./T+Z</t>
  </si>
  <si>
    <t>sonstige Ausgänge</t>
  </si>
  <si>
    <t>sonstige Eingänge</t>
  </si>
  <si>
    <t>E/A</t>
  </si>
  <si>
    <t>Autoverl.</t>
  </si>
  <si>
    <t>Verw. KG</t>
  </si>
  <si>
    <t>SALDO</t>
  </si>
  <si>
    <t>GW Einkauf Nehlsen/Leasing</t>
  </si>
  <si>
    <t>Stand:</t>
  </si>
  <si>
    <t>Autohaus</t>
  </si>
  <si>
    <t>Vers.etc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</si>
</sst>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u/>
      <sz val="10"/>
      <color indexed="12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protection locked="0"/>
    </xf>
  </cellStyleXfs>
  <cellXfs count="33">
    <xf numFmtId="0" fontId="0" fillId="0" borderId="0" xfId="0"/>
    <xf numFmtId="4" fontId="2" fillId="0" borderId="1" xfId="0" applyNumberFormat="1" applyFont="1" applyBorder="1"/>
    <xf numFmtId="4" fontId="2" fillId="0" borderId="0" xfId="0" applyNumberFormat="1" applyFont="1"/>
    <xf numFmtId="0" fontId="3" fillId="0" borderId="2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3" fillId="0" borderId="0" xfId="0" applyNumberFormat="1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" fontId="2" fillId="0" borderId="3" xfId="0" applyNumberFormat="1" applyFont="1" applyBorder="1"/>
    <xf numFmtId="4" fontId="2" fillId="0" borderId="8" xfId="0" applyNumberFormat="1" applyFont="1" applyBorder="1"/>
    <xf numFmtId="0" fontId="2" fillId="0" borderId="2" xfId="0" applyFont="1" applyFill="1" applyBorder="1"/>
    <xf numFmtId="0" fontId="2" fillId="0" borderId="9" xfId="0" applyFont="1" applyBorder="1"/>
    <xf numFmtId="4" fontId="2" fillId="0" borderId="9" xfId="0" applyNumberFormat="1" applyFont="1" applyBorder="1"/>
    <xf numFmtId="0" fontId="2" fillId="0" borderId="0" xfId="0" applyFont="1" applyBorder="1"/>
    <xf numFmtId="0" fontId="3" fillId="0" borderId="10" xfId="0" applyFont="1" applyBorder="1"/>
    <xf numFmtId="4" fontId="3" fillId="0" borderId="11" xfId="0" applyNumberFormat="1" applyFont="1" applyBorder="1"/>
    <xf numFmtId="0" fontId="3" fillId="0" borderId="0" xfId="0" applyFont="1"/>
    <xf numFmtId="4" fontId="0" fillId="0" borderId="1" xfId="0" applyNumberFormat="1" applyBorder="1"/>
    <xf numFmtId="0" fontId="3" fillId="0" borderId="9" xfId="0" applyFont="1" applyFill="1" applyBorder="1" applyAlignment="1">
      <alignment horizontal="right"/>
    </xf>
    <xf numFmtId="22" fontId="3" fillId="0" borderId="9" xfId="0" applyNumberFormat="1" applyFont="1" applyBorder="1"/>
    <xf numFmtId="4" fontId="3" fillId="0" borderId="0" xfId="0" applyNumberFormat="1" applyFont="1"/>
    <xf numFmtId="0" fontId="4" fillId="0" borderId="0" xfId="0" applyFont="1"/>
    <xf numFmtId="0" fontId="2" fillId="0" borderId="0" xfId="0" applyFont="1" applyFill="1" applyBorder="1"/>
    <xf numFmtId="0" fontId="3" fillId="0" borderId="0" xfId="0" applyFont="1" applyAlignment="1">
      <alignment horizontal="left"/>
    </xf>
    <xf numFmtId="0" fontId="3" fillId="0" borderId="12" xfId="0" applyFont="1" applyFill="1" applyBorder="1"/>
    <xf numFmtId="4" fontId="3" fillId="0" borderId="13" xfId="0" applyNumberFormat="1" applyFont="1" applyFill="1" applyBorder="1"/>
    <xf numFmtId="0" fontId="3" fillId="0" borderId="0" xfId="0" applyFont="1" applyBorder="1"/>
  </cellXfs>
  <cellStyles count="2">
    <cellStyle name="Hyperlink" xfId="1" xr:uid="{A8D459EF-4422-4B74-8F92-C5F65442E9B6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4D90-8A39-46FE-9A84-7989AA5F9A94}">
  <sheetPr>
    <pageSetUpPr fitToPage="1"/>
  </sheetPr>
  <dimension ref="A1:R37"/>
  <sheetViews>
    <sheetView tabSelected="1" zoomScale="70" zoomScaleNormal="70" workbookViewId="0">
      <pane xSplit="2" topLeftCell="C1" activePane="topRight" state="frozenSplit"/>
      <selection activeCell="A10" sqref="A10"/>
      <selection pane="topRight" activeCell="B16" sqref="B16"/>
    </sheetView>
  </sheetViews>
  <sheetFormatPr baseColWidth="10" defaultColWidth="11.54296875" defaultRowHeight="12.5" x14ac:dyDescent="0.25"/>
  <cols>
    <col min="1" max="1" width="28.1796875" style="7" bestFit="1" customWidth="1"/>
    <col min="2" max="2" width="23" style="7" bestFit="1" customWidth="1"/>
    <col min="3" max="3" width="17.81640625" style="7" bestFit="1" customWidth="1"/>
    <col min="4" max="4" width="10.453125" style="7" bestFit="1" customWidth="1"/>
    <col min="5" max="5" width="17.81640625" style="7" bestFit="1" customWidth="1"/>
    <col min="6" max="6" width="10.453125" style="7" bestFit="1" customWidth="1"/>
    <col min="7" max="7" width="17.81640625" style="7" bestFit="1" customWidth="1"/>
    <col min="8" max="8" width="13.26953125" style="7" bestFit="1" customWidth="1"/>
    <col min="9" max="9" width="17.81640625" style="7" bestFit="1" customWidth="1"/>
    <col min="10" max="10" width="10.453125" style="7" bestFit="1" customWidth="1"/>
    <col min="11" max="11" width="17.81640625" style="7" bestFit="1" customWidth="1"/>
    <col min="12" max="12" width="10.453125" style="7" bestFit="1" customWidth="1"/>
    <col min="13" max="13" width="17.81640625" style="7" bestFit="1" customWidth="1"/>
    <col min="14" max="14" width="10.453125" style="7" bestFit="1" customWidth="1"/>
    <col min="15" max="15" width="17.81640625" style="7" bestFit="1" customWidth="1"/>
    <col min="16" max="16" width="10.453125" style="7" bestFit="1" customWidth="1"/>
    <col min="17" max="17" width="17.81640625" style="7" bestFit="1" customWidth="1"/>
    <col min="18" max="18" width="10.453125" style="7" bestFit="1" customWidth="1"/>
    <col min="19" max="16384" width="11.54296875" style="7"/>
  </cols>
  <sheetData>
    <row r="1" spans="1:18" ht="13" x14ac:dyDescent="0.3">
      <c r="A1" s="3">
        <v>0</v>
      </c>
      <c r="B1" s="4">
        <v>37824</v>
      </c>
      <c r="C1" s="5">
        <v>37832</v>
      </c>
      <c r="D1" s="6"/>
      <c r="E1" s="5">
        <v>37833</v>
      </c>
      <c r="F1" s="6"/>
      <c r="G1" s="5">
        <v>37834</v>
      </c>
      <c r="H1" s="6"/>
      <c r="I1" s="5">
        <v>37837</v>
      </c>
      <c r="J1" s="6"/>
      <c r="K1" s="5">
        <v>37838</v>
      </c>
      <c r="L1" s="6"/>
      <c r="M1" s="5">
        <v>37839</v>
      </c>
      <c r="N1" s="6"/>
      <c r="O1" s="5">
        <v>37840</v>
      </c>
      <c r="P1" s="6"/>
      <c r="Q1" s="5">
        <v>37841</v>
      </c>
      <c r="R1" s="6"/>
    </row>
    <row r="2" spans="1:18" s="12" customFormat="1" ht="13" thickBot="1" x14ac:dyDescent="0.3">
      <c r="A2" s="8" t="s">
        <v>0</v>
      </c>
      <c r="B2" s="9"/>
      <c r="C2" s="10" t="s">
        <v>1</v>
      </c>
      <c r="D2" s="11" t="s">
        <v>2</v>
      </c>
      <c r="E2" s="10" t="s">
        <v>1</v>
      </c>
      <c r="F2" s="11" t="s">
        <v>2</v>
      </c>
      <c r="G2" s="10" t="s">
        <v>1</v>
      </c>
      <c r="H2" s="11" t="s">
        <v>2</v>
      </c>
      <c r="I2" s="10" t="s">
        <v>1</v>
      </c>
      <c r="J2" s="11" t="s">
        <v>2</v>
      </c>
      <c r="K2" s="10" t="s">
        <v>1</v>
      </c>
      <c r="L2" s="11" t="s">
        <v>2</v>
      </c>
      <c r="M2" s="10" t="s">
        <v>1</v>
      </c>
      <c r="N2" s="11" t="s">
        <v>2</v>
      </c>
      <c r="O2" s="10" t="s">
        <v>1</v>
      </c>
      <c r="P2" s="11" t="s">
        <v>2</v>
      </c>
      <c r="Q2" s="10" t="s">
        <v>1</v>
      </c>
      <c r="R2" s="11" t="s">
        <v>2</v>
      </c>
    </row>
    <row r="3" spans="1:18" x14ac:dyDescent="0.25">
      <c r="A3" s="13" t="s">
        <v>3</v>
      </c>
      <c r="B3" s="14"/>
      <c r="C3" s="28">
        <v>2190</v>
      </c>
      <c r="D3" s="1"/>
      <c r="F3" s="1"/>
      <c r="G3" s="28"/>
      <c r="J3" s="1"/>
      <c r="L3" s="7">
        <v>10500</v>
      </c>
    </row>
    <row r="4" spans="1:18" x14ac:dyDescent="0.25">
      <c r="A4" s="13" t="s">
        <v>3</v>
      </c>
      <c r="B4" s="14"/>
      <c r="D4" s="1"/>
      <c r="F4" s="1"/>
      <c r="G4" s="2">
        <v>14690</v>
      </c>
      <c r="H4" s="1">
        <v>12000</v>
      </c>
      <c r="I4" s="2"/>
      <c r="J4" s="1"/>
      <c r="K4" s="2"/>
      <c r="L4" s="1"/>
      <c r="M4" s="2"/>
      <c r="N4" s="1"/>
      <c r="O4" s="2"/>
      <c r="P4" s="1"/>
      <c r="Q4" s="2"/>
      <c r="R4" s="1"/>
    </row>
    <row r="5" spans="1:18" x14ac:dyDescent="0.25">
      <c r="A5" s="13" t="s">
        <v>3</v>
      </c>
      <c r="B5" s="14"/>
      <c r="D5" s="1"/>
      <c r="E5" s="2"/>
      <c r="F5" s="1"/>
      <c r="G5" s="2"/>
      <c r="H5" s="1"/>
      <c r="I5" s="2"/>
      <c r="J5" s="1"/>
      <c r="K5" s="2"/>
      <c r="L5" s="1"/>
      <c r="M5" s="2"/>
      <c r="N5" s="1"/>
      <c r="O5" s="2"/>
      <c r="P5" s="1"/>
      <c r="Q5" s="2"/>
      <c r="R5" s="1"/>
    </row>
    <row r="6" spans="1:18" ht="13" x14ac:dyDescent="0.3">
      <c r="A6" s="13" t="s">
        <v>3</v>
      </c>
      <c r="B6" s="14"/>
      <c r="C6" s="2"/>
      <c r="D6" s="1"/>
      <c r="E6" s="26"/>
      <c r="F6" s="1"/>
      <c r="G6" s="26"/>
      <c r="H6" s="1"/>
      <c r="I6" s="26"/>
      <c r="J6" s="1"/>
      <c r="K6" s="2">
        <v>10900</v>
      </c>
      <c r="L6" s="1"/>
      <c r="M6" s="26"/>
      <c r="N6" s="1"/>
      <c r="O6" s="26"/>
      <c r="P6" s="1"/>
      <c r="Q6" s="26"/>
      <c r="R6" s="1"/>
    </row>
    <row r="7" spans="1:18" x14ac:dyDescent="0.25">
      <c r="A7" s="13" t="s">
        <v>4</v>
      </c>
      <c r="B7" s="14"/>
      <c r="C7" s="2"/>
      <c r="D7" s="1"/>
      <c r="E7" s="2">
        <v>6700</v>
      </c>
      <c r="F7" s="1"/>
      <c r="G7" s="2">
        <v>8115</v>
      </c>
      <c r="H7" s="1"/>
      <c r="I7" s="2"/>
      <c r="J7" s="1"/>
      <c r="K7" s="2"/>
      <c r="L7" s="1"/>
      <c r="M7" s="2"/>
      <c r="N7" s="1"/>
      <c r="O7" s="2"/>
      <c r="P7" s="1"/>
      <c r="Q7" s="2"/>
      <c r="R7" s="1"/>
    </row>
    <row r="8" spans="1:18" x14ac:dyDescent="0.25">
      <c r="A8" s="13" t="s">
        <v>5</v>
      </c>
      <c r="B8" s="14"/>
      <c r="C8" s="2"/>
      <c r="D8" s="1"/>
      <c r="E8" s="2"/>
      <c r="F8" s="1"/>
      <c r="G8" s="2"/>
      <c r="H8" s="1"/>
      <c r="J8" s="1"/>
      <c r="K8" s="2"/>
      <c r="L8" s="1"/>
      <c r="M8" s="2"/>
      <c r="N8" s="1"/>
      <c r="O8" s="2"/>
      <c r="P8" s="1"/>
      <c r="Q8" s="2"/>
      <c r="R8" s="1"/>
    </row>
    <row r="9" spans="1:18" x14ac:dyDescent="0.25">
      <c r="A9" s="13" t="s">
        <v>5</v>
      </c>
      <c r="B9" s="14"/>
      <c r="C9" s="2"/>
      <c r="D9" s="1"/>
      <c r="F9" s="1"/>
      <c r="H9" s="1"/>
      <c r="I9" s="2"/>
      <c r="J9" s="1"/>
      <c r="K9" s="2"/>
      <c r="L9" s="1"/>
      <c r="M9" s="2"/>
      <c r="N9" s="1"/>
      <c r="O9" s="2"/>
      <c r="P9" s="1"/>
      <c r="Q9" s="2"/>
      <c r="R9" s="1"/>
    </row>
    <row r="10" spans="1:18" x14ac:dyDescent="0.25">
      <c r="A10" s="13" t="s">
        <v>5</v>
      </c>
      <c r="B10" s="14"/>
      <c r="D10" s="1"/>
      <c r="F10" s="1"/>
      <c r="H10" s="1"/>
      <c r="I10" s="2">
        <v>10640</v>
      </c>
      <c r="J10" s="1"/>
      <c r="L10" s="1"/>
      <c r="N10" s="1"/>
      <c r="P10" s="1"/>
      <c r="R10" s="1"/>
    </row>
    <row r="11" spans="1:18" x14ac:dyDescent="0.25">
      <c r="A11" s="13" t="s">
        <v>5</v>
      </c>
      <c r="B11" s="14"/>
      <c r="C11" s="15"/>
      <c r="D11" s="1"/>
      <c r="E11" s="15"/>
      <c r="F11" s="1"/>
      <c r="G11" s="15"/>
      <c r="H11" s="1"/>
      <c r="I11" s="15"/>
      <c r="J11" s="1"/>
      <c r="K11" s="15"/>
      <c r="L11" s="1"/>
      <c r="M11" s="15"/>
      <c r="N11" s="1"/>
      <c r="O11" s="15"/>
      <c r="P11" s="1"/>
      <c r="Q11" s="15"/>
      <c r="R11" s="1"/>
    </row>
    <row r="12" spans="1:18" x14ac:dyDescent="0.25">
      <c r="A12" s="13" t="s">
        <v>5</v>
      </c>
      <c r="B12" s="14"/>
      <c r="C12" s="15"/>
      <c r="E12" s="15"/>
      <c r="F12" s="1"/>
      <c r="G12" s="15"/>
      <c r="H12" s="1"/>
      <c r="I12" s="15"/>
      <c r="J12" s="1"/>
      <c r="K12" s="15"/>
      <c r="L12" s="1"/>
      <c r="M12" s="15"/>
      <c r="N12" s="1"/>
      <c r="O12" s="15"/>
      <c r="P12" s="1"/>
      <c r="Q12" s="15"/>
      <c r="R12" s="1"/>
    </row>
    <row r="13" spans="1:18" x14ac:dyDescent="0.25">
      <c r="A13" s="13" t="s">
        <v>5</v>
      </c>
      <c r="B13" s="14"/>
      <c r="C13" s="15"/>
      <c r="D13" s="1"/>
      <c r="E13" s="15"/>
      <c r="F13" s="1"/>
      <c r="G13" s="15"/>
      <c r="H13" s="1"/>
      <c r="I13" s="15"/>
      <c r="J13" s="1"/>
      <c r="K13" s="15"/>
      <c r="L13" s="1"/>
      <c r="M13" s="15"/>
      <c r="N13" s="1"/>
      <c r="O13" s="15"/>
      <c r="P13" s="1"/>
      <c r="Q13" s="15"/>
      <c r="R13" s="1"/>
    </row>
    <row r="14" spans="1:18" x14ac:dyDescent="0.25">
      <c r="A14" s="13" t="s">
        <v>6</v>
      </c>
      <c r="B14" s="14"/>
      <c r="C14" s="15"/>
      <c r="D14" s="1"/>
      <c r="E14" s="15"/>
      <c r="F14" s="1"/>
      <c r="G14" s="15"/>
      <c r="H14" s="1"/>
      <c r="I14" s="15"/>
      <c r="J14" s="1"/>
      <c r="K14" s="15"/>
      <c r="L14" s="1"/>
      <c r="M14" s="15"/>
      <c r="N14" s="1"/>
      <c r="O14" s="15"/>
      <c r="P14" s="1"/>
      <c r="Q14" s="15"/>
      <c r="R14" s="1"/>
    </row>
    <row r="15" spans="1:18" x14ac:dyDescent="0.25">
      <c r="A15" s="13" t="s">
        <v>7</v>
      </c>
      <c r="B15" s="14"/>
      <c r="C15" s="15"/>
      <c r="D15" s="1"/>
      <c r="E15" s="15"/>
      <c r="G15" s="15"/>
      <c r="H15" s="1"/>
      <c r="I15" s="15"/>
      <c r="J15" s="1"/>
      <c r="K15" s="15"/>
      <c r="L15" s="1"/>
      <c r="M15" s="15"/>
      <c r="N15" s="1"/>
      <c r="O15" s="15"/>
      <c r="P15" s="1"/>
      <c r="Q15" s="15"/>
      <c r="R15" s="1"/>
    </row>
    <row r="16" spans="1:18" x14ac:dyDescent="0.25">
      <c r="A16" s="13" t="s">
        <v>8</v>
      </c>
      <c r="B16" s="14"/>
      <c r="C16" s="15"/>
      <c r="D16" s="1"/>
      <c r="E16" s="15"/>
      <c r="F16" s="1"/>
      <c r="G16" s="15"/>
      <c r="H16" s="1"/>
      <c r="I16" s="15"/>
      <c r="J16" s="1"/>
      <c r="K16" s="15"/>
      <c r="L16" s="1"/>
      <c r="M16" s="15"/>
      <c r="N16" s="1"/>
      <c r="O16" s="15"/>
      <c r="P16" s="1"/>
      <c r="Q16" s="15"/>
      <c r="R16" s="1"/>
    </row>
    <row r="17" spans="1:18" x14ac:dyDescent="0.25">
      <c r="A17" s="13" t="s">
        <v>18</v>
      </c>
      <c r="B17" s="14"/>
      <c r="C17" s="15"/>
      <c r="D17" s="1">
        <v>1275</v>
      </c>
      <c r="E17" s="15"/>
      <c r="F17" s="1"/>
      <c r="G17" s="15"/>
      <c r="H17" s="1"/>
      <c r="I17" s="15"/>
      <c r="J17" s="1"/>
      <c r="K17" s="15"/>
      <c r="L17" s="1"/>
      <c r="M17" s="15"/>
      <c r="N17" s="1"/>
      <c r="O17" s="15"/>
      <c r="P17" s="1"/>
      <c r="Q17" s="15"/>
      <c r="R17" s="1"/>
    </row>
    <row r="18" spans="1:18" x14ac:dyDescent="0.25">
      <c r="A18" s="13" t="s">
        <v>9</v>
      </c>
      <c r="B18" s="14"/>
      <c r="C18" s="15"/>
      <c r="D18" s="1"/>
      <c r="E18" s="15"/>
      <c r="F18" s="1"/>
      <c r="G18" s="15"/>
      <c r="H18" s="1"/>
      <c r="I18" s="15"/>
      <c r="J18" s="1"/>
      <c r="K18" s="15"/>
      <c r="L18" s="1"/>
      <c r="M18" s="15"/>
      <c r="N18" s="1"/>
      <c r="O18" s="15"/>
      <c r="P18" s="1"/>
      <c r="Q18" s="15"/>
      <c r="R18" s="1"/>
    </row>
    <row r="19" spans="1:18" x14ac:dyDescent="0.25">
      <c r="A19" s="13" t="s">
        <v>10</v>
      </c>
      <c r="B19" s="14"/>
      <c r="C19" s="15"/>
      <c r="E19" s="15"/>
      <c r="F19" s="1">
        <v>4470</v>
      </c>
      <c r="G19" s="15"/>
      <c r="H19" s="1">
        <v>3315</v>
      </c>
      <c r="I19" s="15"/>
      <c r="J19" s="1">
        <v>17350</v>
      </c>
      <c r="K19" s="15"/>
      <c r="M19" s="15"/>
      <c r="N19" s="1">
        <v>2500</v>
      </c>
      <c r="O19" s="15"/>
      <c r="P19" s="1"/>
      <c r="Q19" s="15"/>
      <c r="R19" s="1"/>
    </row>
    <row r="20" spans="1:18" x14ac:dyDescent="0.25">
      <c r="A20" s="13" t="s">
        <v>11</v>
      </c>
      <c r="B20" s="14"/>
      <c r="C20" s="2">
        <v>2990</v>
      </c>
      <c r="D20" s="1"/>
      <c r="E20" s="2">
        <v>3640</v>
      </c>
      <c r="F20" s="1"/>
      <c r="G20" s="2">
        <v>2030</v>
      </c>
      <c r="H20" s="1"/>
      <c r="I20" s="2">
        <v>2600</v>
      </c>
      <c r="J20" s="1"/>
      <c r="K20" s="2">
        <v>2600</v>
      </c>
      <c r="L20" s="1"/>
      <c r="M20" s="2">
        <v>2600</v>
      </c>
      <c r="N20" s="1"/>
      <c r="O20" s="2">
        <v>2600</v>
      </c>
      <c r="P20" s="1"/>
      <c r="Q20" s="2">
        <v>2600</v>
      </c>
      <c r="R20" s="1"/>
    </row>
    <row r="21" spans="1:18" x14ac:dyDescent="0.25">
      <c r="A21" s="13" t="s">
        <v>21</v>
      </c>
      <c r="B21" s="14"/>
      <c r="C21" s="2">
        <v>770</v>
      </c>
      <c r="D21" s="1"/>
      <c r="E21" s="2">
        <v>2460</v>
      </c>
      <c r="F21" s="1"/>
      <c r="G21" s="2">
        <v>680</v>
      </c>
      <c r="H21" s="1"/>
      <c r="I21" s="2">
        <v>3600</v>
      </c>
      <c r="J21" s="1"/>
      <c r="K21" s="2">
        <v>3600</v>
      </c>
      <c r="L21" s="1"/>
      <c r="M21" s="2">
        <v>3600</v>
      </c>
      <c r="N21" s="1"/>
      <c r="O21" s="2">
        <v>3600</v>
      </c>
      <c r="P21" s="1"/>
      <c r="Q21" s="2">
        <v>3600</v>
      </c>
      <c r="R21" s="1"/>
    </row>
    <row r="22" spans="1:18" x14ac:dyDescent="0.25">
      <c r="A22" s="13" t="s">
        <v>12</v>
      </c>
      <c r="B22" s="14"/>
      <c r="C22" s="2"/>
      <c r="D22" s="1"/>
      <c r="E22" s="2"/>
      <c r="F22" s="1">
        <v>6670</v>
      </c>
      <c r="G22" s="2"/>
      <c r="H22" s="1">
        <v>13420</v>
      </c>
      <c r="I22" s="2"/>
      <c r="J22" s="1"/>
      <c r="K22" s="2"/>
      <c r="L22" s="1"/>
      <c r="M22" s="2"/>
      <c r="N22" s="1"/>
      <c r="O22" s="2"/>
      <c r="P22" s="1"/>
      <c r="Q22" s="2"/>
      <c r="R22" s="1"/>
    </row>
    <row r="23" spans="1:18" x14ac:dyDescent="0.25">
      <c r="A23" s="16" t="s">
        <v>13</v>
      </c>
      <c r="B23" s="2"/>
      <c r="C23" s="2"/>
      <c r="D23" s="1"/>
      <c r="F23" s="1"/>
      <c r="G23" s="2">
        <v>23170</v>
      </c>
      <c r="H23" s="1"/>
      <c r="I23" s="2">
        <v>6700</v>
      </c>
      <c r="J23" s="1"/>
      <c r="K23" s="2"/>
      <c r="L23" s="1"/>
      <c r="M23" s="2"/>
      <c r="N23" s="1"/>
      <c r="O23" s="2"/>
      <c r="P23" s="1"/>
      <c r="Q23" s="2"/>
      <c r="R23" s="1"/>
    </row>
    <row r="24" spans="1:18" s="19" customFormat="1" x14ac:dyDescent="0.25">
      <c r="A24" s="17" t="s">
        <v>14</v>
      </c>
      <c r="B24" s="18"/>
      <c r="C24" s="18">
        <f t="shared" ref="C24:H24" si="0">SUM(C3:C23)</f>
        <v>5950</v>
      </c>
      <c r="D24" s="18">
        <f t="shared" si="0"/>
        <v>1275</v>
      </c>
      <c r="E24" s="18">
        <f t="shared" si="0"/>
        <v>12800</v>
      </c>
      <c r="F24" s="18">
        <f t="shared" si="0"/>
        <v>11140</v>
      </c>
      <c r="G24" s="18">
        <f>SUM(G3:G23)</f>
        <v>48685</v>
      </c>
      <c r="H24" s="18">
        <f t="shared" si="0"/>
        <v>28735</v>
      </c>
      <c r="I24" s="18">
        <f t="shared" ref="I24:R24" si="1">SUM(I3:I23)</f>
        <v>23540</v>
      </c>
      <c r="J24" s="18">
        <f t="shared" si="1"/>
        <v>17350</v>
      </c>
      <c r="K24" s="18">
        <f t="shared" si="1"/>
        <v>17100</v>
      </c>
      <c r="L24" s="18">
        <f t="shared" si="1"/>
        <v>10500</v>
      </c>
      <c r="M24" s="18">
        <f t="shared" si="1"/>
        <v>6200</v>
      </c>
      <c r="N24" s="18">
        <f t="shared" si="1"/>
        <v>2500</v>
      </c>
      <c r="O24" s="18">
        <f t="shared" si="1"/>
        <v>6200</v>
      </c>
      <c r="P24" s="18">
        <f t="shared" si="1"/>
        <v>0</v>
      </c>
      <c r="Q24" s="18">
        <f t="shared" si="1"/>
        <v>6200</v>
      </c>
      <c r="R24" s="18">
        <f t="shared" si="1"/>
        <v>0</v>
      </c>
    </row>
    <row r="25" spans="1:18" s="22" customFormat="1" ht="13.5" thickBot="1" x14ac:dyDescent="0.35">
      <c r="A25" s="20" t="s">
        <v>20</v>
      </c>
      <c r="B25" s="21">
        <v>808660</v>
      </c>
      <c r="C25" s="21">
        <f>B25-C24+D24</f>
        <v>803985</v>
      </c>
      <c r="D25" s="21"/>
      <c r="E25" s="21">
        <f>C25-E24+F24</f>
        <v>802325</v>
      </c>
      <c r="F25" s="21"/>
      <c r="G25" s="21">
        <f>E25-G24+H24</f>
        <v>782375</v>
      </c>
      <c r="H25" s="21"/>
      <c r="I25" s="21">
        <f>G25-I24+J24</f>
        <v>776185</v>
      </c>
      <c r="J25" s="21"/>
      <c r="K25" s="21">
        <f>I25-K24+L24</f>
        <v>769585</v>
      </c>
      <c r="L25" s="21"/>
      <c r="M25" s="21">
        <f>K25-M24+N24</f>
        <v>765885</v>
      </c>
      <c r="N25" s="21"/>
      <c r="O25" s="21">
        <f>M25-O24+P24</f>
        <v>759685</v>
      </c>
      <c r="P25" s="21"/>
      <c r="Q25" s="21">
        <f>O25-Q24+R24</f>
        <v>753485</v>
      </c>
      <c r="R25" s="21"/>
    </row>
    <row r="26" spans="1:18" ht="13" thickTop="1" x14ac:dyDescent="0.25">
      <c r="A26" s="13"/>
      <c r="B26" s="2"/>
      <c r="C26" s="2"/>
      <c r="D26" s="1"/>
      <c r="E26" s="2"/>
      <c r="F26" s="1"/>
      <c r="G26" s="2"/>
      <c r="H26" s="1"/>
      <c r="I26" s="2"/>
      <c r="J26" s="1"/>
      <c r="K26" s="2"/>
      <c r="L26" s="1"/>
      <c r="M26" s="2"/>
      <c r="N26" s="1"/>
      <c r="O26" s="2"/>
      <c r="P26" s="1"/>
      <c r="Q26" s="2"/>
      <c r="R26" s="1"/>
    </row>
    <row r="27" spans="1:18" x14ac:dyDescent="0.25">
      <c r="A27" s="13" t="s">
        <v>15</v>
      </c>
      <c r="B27" s="2">
        <v>12560</v>
      </c>
      <c r="C27" s="2">
        <v>12560</v>
      </c>
      <c r="D27" s="23"/>
      <c r="E27" s="2">
        <v>12995</v>
      </c>
      <c r="F27" s="23"/>
      <c r="G27" s="2">
        <v>13100</v>
      </c>
      <c r="H27" s="23"/>
      <c r="I27" s="2">
        <v>13100</v>
      </c>
      <c r="J27" s="23"/>
      <c r="K27" s="2">
        <v>13100</v>
      </c>
      <c r="L27" s="23"/>
      <c r="M27" s="2">
        <v>13100</v>
      </c>
      <c r="N27" s="23"/>
      <c r="O27" s="2">
        <v>13100</v>
      </c>
      <c r="P27" s="23"/>
      <c r="Q27" s="2">
        <v>13100</v>
      </c>
      <c r="R27" s="23"/>
    </row>
    <row r="28" spans="1:18" ht="13" thickBot="1" x14ac:dyDescent="0.3">
      <c r="A28" s="13" t="s">
        <v>16</v>
      </c>
      <c r="B28" s="2">
        <v>398570</v>
      </c>
      <c r="C28" s="2">
        <v>398570</v>
      </c>
      <c r="D28" s="1"/>
      <c r="E28" s="2">
        <v>408030</v>
      </c>
      <c r="F28" s="1"/>
      <c r="G28" s="2">
        <v>413380</v>
      </c>
      <c r="H28" s="1"/>
      <c r="I28" s="2">
        <v>413380</v>
      </c>
      <c r="J28" s="1"/>
      <c r="K28" s="2">
        <v>413380</v>
      </c>
      <c r="L28" s="1"/>
      <c r="M28" s="2">
        <v>413380</v>
      </c>
      <c r="N28" s="1"/>
      <c r="O28" s="2">
        <v>413380</v>
      </c>
      <c r="P28" s="1"/>
      <c r="Q28" s="2">
        <v>413380</v>
      </c>
      <c r="R28" s="1"/>
    </row>
    <row r="29" spans="1:18" s="32" customFormat="1" ht="14" thickTop="1" thickBot="1" x14ac:dyDescent="0.35">
      <c r="A29" s="30" t="s">
        <v>17</v>
      </c>
      <c r="B29" s="31">
        <f>SUM(B25:B28)</f>
        <v>1219790</v>
      </c>
      <c r="C29" s="31">
        <f>SUM(C25:C28)</f>
        <v>1215115</v>
      </c>
      <c r="D29" s="31"/>
      <c r="E29" s="31">
        <f>SUM(E25:E28)</f>
        <v>1223350</v>
      </c>
      <c r="F29" s="31"/>
      <c r="G29" s="31">
        <f>SUM(G25:G28)</f>
        <v>1208855</v>
      </c>
      <c r="H29" s="31"/>
      <c r="I29" s="31">
        <f>SUM(I25:I28)</f>
        <v>1202665</v>
      </c>
      <c r="J29" s="31"/>
      <c r="K29" s="31">
        <f>SUM(K25:K28)</f>
        <v>1196065</v>
      </c>
      <c r="L29" s="31"/>
      <c r="M29" s="31">
        <f>SUM(M25:M28)</f>
        <v>1192365</v>
      </c>
      <c r="N29" s="31"/>
      <c r="O29" s="31">
        <f>SUM(O25:O28)</f>
        <v>1186165</v>
      </c>
      <c r="P29" s="31"/>
      <c r="Q29" s="31">
        <f>SUM(Q25:Q28)</f>
        <v>1179965</v>
      </c>
      <c r="R29" s="31"/>
    </row>
    <row r="30" spans="1:18" ht="13" thickTop="1" x14ac:dyDescent="0.25">
      <c r="B30" s="2"/>
    </row>
    <row r="32" spans="1:18" ht="13" x14ac:dyDescent="0.3">
      <c r="A32" s="24" t="s">
        <v>19</v>
      </c>
      <c r="B32" s="25">
        <f ca="1">NOW()</f>
        <v>45884.483406134263</v>
      </c>
    </row>
    <row r="35" spans="1:2" x14ac:dyDescent="0.25">
      <c r="A35" s="27"/>
    </row>
    <row r="36" spans="1:2" x14ac:dyDescent="0.25">
      <c r="A36" s="27"/>
    </row>
    <row r="37" spans="1:2" ht="13" x14ac:dyDescent="0.3">
      <c r="A37" s="22"/>
      <c r="B37" s="29"/>
    </row>
  </sheetData>
  <phoneticPr fontId="0" type="noConversion"/>
  <printOptions verticalCentered="1"/>
  <pageMargins left="0.27559055118110237" right="0.19685039370078741" top="0.91" bottom="0.98425196850393704" header="0.4921259845" footer="0.4921259845"/>
  <pageSetup paperSize="9" scale="56" orientation="landscape" r:id="rId1"/>
  <headerFooter alignWithMargins="0">
    <oddHeader>&amp;C&amp;"Arial,Fett"&amp;16Liquiditätsplanung&amp;"Arial,Standard"&amp;10
&amp;"Arial,Fett"&amp;12&amp;UCredo-Gruppe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User</dc:creator>
  <cp:lastModifiedBy>Stefan Meisenzahl</cp:lastModifiedBy>
  <cp:lastPrinted>2003-07-31T11:12:13Z</cp:lastPrinted>
  <dcterms:created xsi:type="dcterms:W3CDTF">2000-07-23T09:07:40Z</dcterms:created>
  <dcterms:modified xsi:type="dcterms:W3CDTF">2025-08-15T09:36:56Z</dcterms:modified>
</cp:coreProperties>
</file>